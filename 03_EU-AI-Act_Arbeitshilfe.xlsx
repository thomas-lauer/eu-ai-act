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0_Anleitung" sheetId="1" state="visible" r:id="rId3"/>
    <sheet name="01_KI-Inventar" sheetId="2" state="visible" r:id="rId4"/>
    <sheet name="02_Rollen-Check" sheetId="3" state="visible" r:id="rId5"/>
    <sheet name="03_Risiko-Einstufung" sheetId="4" state="visible" r:id="rId6"/>
    <sheet name="04_Pflichten-Matrix" sheetId="5" state="visible" r:id="rId7"/>
    <sheet name="05_Maßnahmenplan" sheetId="6" state="visible" r:id="rId8"/>
    <sheet name="06_Dashboard" sheetId="7" state="visible" r:id="rId9"/>
    <sheet name="07_Quellen" sheetId="8" state="visible" r:id="rId10"/>
    <sheet name="09_Beispiel" sheetId="9" state="visible" r:id="rId11"/>
    <sheet name="08_Register" sheetId="10" state="visible" r:id="rId12"/>
  </sheets>
  <definedNames>
    <definedName function="false" hidden="false" localSheetId="1" name="_xlnm.Print_Titles" vbProcedure="false">'01_KI-Inventar'!$5:$5</definedName>
    <definedName function="false" hidden="false" localSheetId="2" name="_xlnm.Print_Titles" vbProcedure="false">'02_Rollen-Check'!$5:$5</definedName>
    <definedName function="false" hidden="false" localSheetId="3" name="_xlnm.Print_Titles" vbProcedure="false">'03_Risiko-Einstufung'!$5:$5</definedName>
    <definedName function="false" hidden="false" localSheetId="4" name="_xlnm.Print_Titles" vbProcedure="false">'04_Pflichten-Matrix'!$5:$5</definedName>
    <definedName function="false" hidden="true" localSheetId="4" name="_xlnm._FilterDatabase" vbProcedure="false">'04_Pflichten-Matrix'!$A$5:$N$95</definedName>
    <definedName function="false" hidden="false" localSheetId="5" name="_xlnm.Print_Titles" vbProcedure="false">'05_Maßnahmenplan'!$5:$5</definedName>
    <definedName function="false" hidden="false" localSheetId="7" name="_xlnm.Print_Titles" vbProcedure="false">'07_Quellen'!$5:$5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Die IDs sind vorbelegt. Auf den Blättern 02, 03 und 05 wählen Sie diese ID per Dropdown aus.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5" authorId="0">
      <text>
        <r>
          <rPr>
            <sz val="10"/>
            <rFont val="Arial"/>
            <family val="2"/>
          </rPr>
          <t xml:space="preserve">Festes Datum manuell eintragen. Bewusst KEINE Formel mit HEUTE() — ein Prüfdatum, das sich beim nächsten Öffnen der Datei mitverschiebt, taugt nicht als Nachweis (Befund P0.4).</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5" authorId="0">
      <text>
        <r>
          <rPr>
            <sz val="10"/>
            <rFont val="Arial"/>
            <family val="2"/>
          </rPr>
          <t xml:space="preserve">Diese Angabe entscheidet über die Rechtsfolge. Anhang I ABSCHNITT A (u. a. Spielzeug, Aufzüge, ATEX, Funkanlagen, Druckgeräte, Seilbahnen, PSA, Gasverbrennungsgeräte, Medizinprodukte, In-vitro-Diagnostika): volles Kapitel III ab 02.08.2028. ABSCHNITT B (Zivilluftfahrt, Kraftfahrzeuge, Schiffsausrüstung, Eisenbahn und seit Juli 2026 die Maschinenverordnung (EU) 2023/1230): Es gelten NUR Art. 6 Abs. 1, Art. 60a und Art. 102-112 (Art. 2 Abs. 2 n. F.); Art. 57, 58 und 59 nur, soweit das Sektorrecht die Anforderungen übernommen hat. Achtung: Art. 6 Abs. 1 gilt weiter - das System bleibt ein Hochrisiko-KI-System. Solange der Abschnitt offen ist, wird bewusst keine Frist ausgegeben.</t>
        </r>
      </text>
    </comment>
    <comment ref="I5" authorId="0">
      <text>
        <r>
          <rPr>
            <sz val="10"/>
            <rFont val="Arial"/>
            <family val="2"/>
          </rPr>
          <t xml:space="preserve">Achtung: Der Ausnahmefilter greift nur, wenn zusätzlich KEIN erhebliches Risiko für Gesundheit, Sicherheit oder Grundrechte besteht. Bei Profiling ist er immer ausgeschlossen (Art. 6 Abs. 3 UAbs. 3). Die Bewertung ist VOR Inverkehrbringen zu dokumentieren (Art. 6 Abs. 4).</t>
        </r>
      </text>
    </comment>
    <comment ref="K5" authorId="0">
      <text>
        <r>
          <rPr>
            <sz val="10"/>
            <rFont val="Arial"/>
            <family val="2"/>
          </rPr>
          <t xml:space="preserve">Automatischer Prüfungsvorschlag auf Basis Ihrer Eingaben. KEINE Freigabeentscheidung. Die ausgegebenen Hochrisiko-Termine sind Planungsannahmen - der Gesetzgeber hat ausdrücklich nur Kapitel III Abschnitte 1 bis 3 verschoben. Vor Inbetriebnahme juristisch prüfen und das Ergebnis in Spalte O eintragen.</t>
        </r>
      </text>
    </comment>
    <comment ref="R5" authorId="0">
      <text>
        <r>
          <rPr>
            <sz val="10"/>
            <rFont val="Arial"/>
            <family val="2"/>
          </rPr>
          <t xml:space="preserve">Festes Datum manuell eintragen. Bewusst KEINE Formel mit HEUTE(): Ein abgeschlossener Prüfeintrag muss beim nächsten Öffnen der Datei unverändert bleiben (Befund P0.4).</t>
        </r>
      </text>
    </comment>
    <comment ref="T5" authorId="0">
      <text>
        <r>
          <rPr>
            <sz val="10"/>
            <rFont val="Arial"/>
            <family val="2"/>
          </rPr>
          <t xml:space="preserve">Rechtsstand, gegen den geprüft wurde - z. B. "29.07.2026 / Fassung 1.1". Macht nachvollziehbar, ob eine Prüfung nach einer Rechtsänderung zu wiederholen ist.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J5" authorId="0">
      <text>
        <r>
          <rPr>
            <sz val="10"/>
            <rFont val="Arial"/>
            <family val="2"/>
          </rPr>
          <t xml:space="preserve">Der Terminstatus wird bewusst laufend aus dem Fälligkeitsdatum berechnet — er ist eine Steuerungs-, keine Nachweisgröße. Prüfdaten dagegen stehen als feste Werte auf den Blättern 02 und 03.</t>
        </r>
      </text>
    </comment>
  </commentList>
</comments>
</file>

<file path=xl/sharedStrings.xml><?xml version="1.0" encoding="utf-8"?>
<sst xmlns="http://schemas.openxmlformats.org/spreadsheetml/2006/main" count="1030" uniqueCount="624">
  <si>
    <t xml:space="preserve">EU AI Act — Arbeitshilfe zur Umsetzung</t>
  </si>
  <si>
    <t xml:space="preserve">Fassung 1.1 · Rechtsstand: 29.07.2026 · Verordnung (EU) 2024/1689 in der Fassung der Verordnung (EU) 2026/1744 (Digital Omnibus, in Kraft seit 27.07.2026)</t>
  </si>
  <si>
    <t xml:space="preserve">Wichtiger Hinweis</t>
  </si>
  <si>
    <t xml:space="preserve">Keine Rechtsberatung</t>
  </si>
  <si>
    <t xml:space="preserve">Diese Arbeitshilfe ist ein Strukturierungswerkzeug, keine Rechtsberatung. Ob eine Pflicht im konkreten Fall greift, hängt von Umständen ab, die hier nicht bekannt sind. Was Blatt 03 ausgibt, ist ein automatischer PRÜFUNGSVORSCHLAG auf Basis Ihrer Eingaben — KEINE FREIGABEENTSCHEIDUNG und kein Ersatz für eine juristische Prüfung. Solange Spalte O nicht auf „Ja“ steht, gilt jede Einstufung als Arbeitsannahme.</t>
  </si>
  <si>
    <t xml:space="preserve">Reichweite der Verschiebung — bitte einmal lesen</t>
  </si>
  <si>
    <t xml:space="preserve">Der Gesetzgeber hat ausdrücklich nur Kapitel III Abschnitte 1, 2 und 3 verschoben (Art. 113 Abs. 3 lit. c n. F.). Konformitätsbewertung und Registrierung (Art. 40–49), Beobachtung nach dem Inverkehrbringen und Vorfallmeldung (Art. 72, 73), das Recht auf Erläuterung (Art. 86) und die Transparenzpflichten (Art. 50) sind vom Wortlaut NICHT erfasst — sie gelten seit 02.08.2026. Diese Arbeitshilfe plant sie dennoch zum jeweiligen Hochrisiko-Termin, weil sie ohne anwendbaren Art. 6 praktisch leerlaufen. Das ist eine ARBEITSANNAHME, nicht anwaltlich bestätigt. Halten Sie je System fest: gesetzlicher Wortlaut / geplante Frist / ob und durch wen bestätigt.</t>
  </si>
  <si>
    <t xml:space="preserve">Prüfdaten sind fest, nicht dynamisch</t>
  </si>
  <si>
    <t xml:space="preserve">Die Felder „Geprüft am“ auf den Blättern 02 und 03 sind manuelle Datumsfelder ohne Formel. Ein abgeschlossener Prüfeintrag bleibt beim nächsten Öffnen der Datei unverändert — sonst wäre er als Nachweis wertlos. Nur der Terminstatus auf Blatt 05 rechnet bewusst gegen das heutige Datum, weil er eine Steuerungs- und keine Nachweisgröße ist.</t>
  </si>
  <si>
    <t xml:space="preserve">Rechtsstand prüfen</t>
  </si>
  <si>
    <t xml:space="preserve">Stand dieser Datei: 29.07.2026. Die KI-Verordnung wurde zuletzt am 24.07.2026 geändert (VO (EU) 2026/1744, in Kraft seit 27.07.2026). Prüfen Sie vor jeder Nutzung, ob ein neuerer Stand vorliegt. Alle Fundstellen und Quellen finden Sie auf Blatt 07_Quellen.</t>
  </si>
  <si>
    <t xml:space="preserve">So arbeiten Sie mit der Datei</t>
  </si>
  <si>
    <t xml:space="preserve">Farbcode</t>
  </si>
  <si>
    <t xml:space="preserve">GELB hinterlegte Zellen sind Eingabefelder — hier tragen Sie ein. GRAUE Zellen sind vorgegeben oder berechnet und sollten nicht verändert werden; auf Blatt 04 enthalten sie den Pflichtenkatalog (Spalten A–G) und die Ampel-Formel (Spalte N). Blaue Kopfzeilen kennzeichnen Spaltenüberschriften.</t>
  </si>
  <si>
    <t xml:space="preserve">Reihenfolge</t>
  </si>
  <si>
    <t xml:space="preserve">1. Blatt 01 KI-Inventar füllen (jedes System eine Zeile).  2. Blatt 02 Rollen-Check je System beantworten.  3. Blatt 03 Risiko-Einstufung je System beantworten.  4. Blatt 04 Pflichten-Matrix durchgehen und Relevanz sowie Status setzen.  5. Lücken in Blatt 05 Maßnahmenplan überführen.  6. Blatt 06 Dashboard zeigt den Stand.</t>
  </si>
  <si>
    <t xml:space="preserve">Beispiel</t>
  </si>
  <si>
    <t xml:space="preserve">Die produktiven Blätter 01 bis 05 starten leer — im Auslieferungszustand zeigt das Dashboard deshalb durchgehend 0. Ein vollständig durchgerechneter Musterfall steht auf Blatt 09_Beispiel; er enthält keine Formeln und wird nicht mitgezählt.</t>
  </si>
  <si>
    <t xml:space="preserve">System-IDs</t>
  </si>
  <si>
    <t xml:space="preserve">Die IDs (KI-001 ff.) werden auf Blatt 01 vergeben und auf den Blättern 02, 03 und 05 per Dropdown ausgewählt. Die Bezeichnung wird dann automatisch übernommen.</t>
  </si>
  <si>
    <t xml:space="preserve">Aufbau der Datei</t>
  </si>
  <si>
    <t xml:space="preserve">01_KI-Inventar</t>
  </si>
  <si>
    <t xml:space="preserve">Alle im Unternehmen eingesetzten oder geplanten KI-Systeme. Grundlage für alles Weitere.</t>
  </si>
  <si>
    <t xml:space="preserve">02_Rollen-Check</t>
  </si>
  <si>
    <t xml:space="preserve">Bestimmt je System, ob Sie Anbieter, Betreiber oder beides sind — inkl. Rollenwechsel nach Art. 25.</t>
  </si>
  <si>
    <t xml:space="preserve">03_Risiko-Einstufung</t>
  </si>
  <si>
    <t xml:space="preserve">Führt je System durch die Prüfkette: verboten → Hochrisiko Anhang I (Abschnitt A oder B!) → Hochrisiko Anhang III → Transparenz → gering. Ergibt einen Prüfungsvorschlag, eine Frist und einen Bestätigungsstatus.</t>
  </si>
  <si>
    <t xml:space="preserve">04_Pflichten-Matrix</t>
  </si>
  <si>
    <t xml:space="preserve">Katalog der Pflichten mit Fundstelle, Rolle, Risikoklasse und Frist. Hier tragen Sie Relevanz, Status und Verantwortliche ein.</t>
  </si>
  <si>
    <t xml:space="preserve">05_Maßnahmenplan</t>
  </si>
  <si>
    <t xml:space="preserve">Offene Punkte aus Blatt 04 mit Maßnahme, Termin und Fortschritt.</t>
  </si>
  <si>
    <t xml:space="preserve">06_Dashboard</t>
  </si>
  <si>
    <t xml:space="preserve">Auswertung: Anzahl Systeme je Klasse, Erfüllungsgrad, kritische Fristen.</t>
  </si>
  <si>
    <t xml:space="preserve">07_Quellen</t>
  </si>
  <si>
    <t xml:space="preserve">Fundstellenregister mit Links — damit jede Angabe nachprüfbar bleibt.</t>
  </si>
  <si>
    <t xml:space="preserve">08_Register</t>
  </si>
  <si>
    <t xml:space="preserve">Auswahllisten für die Dropdown-Felder. Nur ändern, wenn Sie die Systematik anpassen wollen.</t>
  </si>
  <si>
    <t xml:space="preserve">09_Beispiel</t>
  </si>
  <si>
    <t xml:space="preserve">Ausgefüllter Musterfall zum Nachvollziehen — reiner Text, ohne Formeln, ohne Auswirkung auf das Dashboard.</t>
  </si>
  <si>
    <t xml:space="preserve">Anhang I: Abschnitt A oder Abschnitt B?</t>
  </si>
  <si>
    <t xml:space="preserve">Warum das zuerst geklärt werden muss</t>
  </si>
  <si>
    <t xml:space="preserve">Für Anhang I Abschnitt A gilt das volle Kapitel III der KI-Verordnung ab 02.08.2028. Für Anhang I Abschnitt B gelten nach Art. 2 Abs. 2 n. F. NUR Art. 6 Abs. 1, Art. 60a und Art. 102–112; Art. 57, 58 und 59 nur, soweit das Sektorrecht die Anforderungen übernommen hat. Solange der Abschnitt nicht bestimmt ist, gibt Blatt 03 bewusst keine Frist aus.</t>
  </si>
  <si>
    <t xml:space="preserve">Abschnitt A</t>
  </si>
  <si>
    <t xml:space="preserve">u. a. Spielzeug, Aufzüge, Geräte in explosionsgefährdeten Bereichen, Funkanlagen, Druckgeräte, Seilbahnen, persönliche Schutzausrüstung, Gasverbrennungsgeräte, Medizinprodukte, In-vitro-Diagnostika.</t>
  </si>
  <si>
    <t xml:space="preserve">Abschnitt B</t>
  </si>
  <si>
    <t xml:space="preserve">Zivilluftfahrt, Kraftfahrzeuge, Schiffsausrüstung, Eisenbahn — und seit Juli 2026 die Maschinenverordnung (EU) 2023/1230, die zuvor in Abschnitt A stand. Achtung: „Kapitel III gilt nicht“ wäre zu grob — Art. 6 Abs. 1 gilt weiter, das System bleibt ein Hochrisiko-KI-System. Nicht anwendbar sind die Anforderungs- und Pflichtenkapitel sowie Art. 50, Art. 72, Art. 73 und Art. 99.</t>
  </si>
  <si>
    <t xml:space="preserve">Die wichtigsten Fristen</t>
  </si>
  <si>
    <t xml:space="preserve">gilt bereits</t>
  </si>
  <si>
    <t xml:space="preserve">02.02.2025 KI-Kompetenz (Art. 4) und verbotene Praktiken (Art. 5) · 02.08.2025 GPAI-Pflichten, Governance, Sanktionen</t>
  </si>
  <si>
    <t xml:space="preserve">27.07.2026</t>
  </si>
  <si>
    <t xml:space="preserve">Digital Omnibus in Kraft: Art. 102–110 KI-VO anwendbar; neue Rechtsgrundlage Art. 4a (Bias-Erkennung mit besonderen Datenkategorien) anwendbar</t>
  </si>
  <si>
    <t xml:space="preserve">02.08.2026</t>
  </si>
  <si>
    <t xml:space="preserve">Allgemeiner Geltungsbeginn — insbesondere Transparenzpflichten nach Art. 50</t>
  </si>
  <si>
    <t xml:space="preserve">02.12.2026</t>
  </si>
  <si>
    <t xml:space="preserve">Neue Verbote NCII und CSAM (Art. 5 Abs. 1 lit. ba und bb) · Kennzeichnungspflicht für generative Bestandssysteme (Art. 50 Abs. 2 i. V. m. Art. 111 Abs. 4)</t>
  </si>
  <si>
    <t xml:space="preserve">02.12.2027</t>
  </si>
  <si>
    <t xml:space="preserve">Pflichten für Hochrisiko-KI nach Anhang III (eigenständige Systeme) — Kapitel III Abschnitte 1, 2 und 3</t>
  </si>
  <si>
    <t xml:space="preserve">02.08.2028</t>
  </si>
  <si>
    <t xml:space="preserve">Pflichten für Hochrisiko-KI nach Anhang I Abschnitt A. Für Anhang I Abschnitt B (u. a. Maschinen, Kfz, Eisenbahn) gelten nur Art. 6 Abs. 1, Art. 60a und Art. 102–112 (Art. 2 Abs. 2 n. F.) — im Übrigen greift das Sektorrecht</t>
  </si>
  <si>
    <t xml:space="preserve">02.08.2027</t>
  </si>
  <si>
    <t xml:space="preserve">GPAI-Modelle, die vor dem 02.08.2025 in Verkehr gebracht wurden, müssen konform sein (Art. 111 Abs. 3); KI-Reallabore einsatzbereit</t>
  </si>
  <si>
    <t xml:space="preserve">02.08.2030 / 31.12.2030</t>
  </si>
  <si>
    <t xml:space="preserve">Hochrisiko-Bestandssysteme in Behördennutzung (Art. 111 Abs. 2) bzw. KI in IT-Großsystemen nach Anhang X (Art. 111 Abs. 1)</t>
  </si>
  <si>
    <t xml:space="preserve">Bestandsschutz</t>
  </si>
  <si>
    <t xml:space="preserve">Hochrisiko-Systeme, die vor dem jeweiligen Geltungsbeginn in Verkehr gebracht wurden, unterliegen der Verordnung nur bei erheblicher Änderung der Konzeption. Maßgeblich sind Art und Modell des Systems; entscheidend ist das Datum der ersten Einheit (Art. 111 Abs. 2 n. F., ErwG 39).</t>
  </si>
  <si>
    <t xml:space="preserve">Angaben zu Ihrem Unternehmen</t>
  </si>
  <si>
    <t xml:space="preserve">Unternehmensgröße</t>
  </si>
  <si>
    <t xml:space="preserve">Steuert die Erleichterungen nach Art. 11 Abs. 1 UAbs. 2 und Art. 63 Abs. 1 n. F. sowie die Bußgeld-Deckelung nach Art. 99 Abs. 6 (KMU: Absätze 3, 4 und 5) bzw. Abs. 6a n. F. (kleine Midcaps: nur Absätze 4 und 5 — bei Art. 5 gilt für sie KEINE Deckelung).</t>
  </si>
  <si>
    <t xml:space="preserve">Sind wir Anbieter eines KI-Modells mit allgemeinem Verwendungszweck (GPAI)?</t>
  </si>
  <si>
    <t xml:space="preserve">Wenn ja: Die Zeilen G.1 bis G.5 der Pflichten-Matrix sind unabhängig von der Einstufung einzelner Systeme zu prüfen (Art. 51 bis 55). Diese Pflichten gelten bereits seit 02.08.2025.</t>
  </si>
  <si>
    <t xml:space="preserve">Sind wir Einführer oder Händler von KI-Systemen?</t>
  </si>
  <si>
    <t xml:space="preserve">Wenn ja: zusätzliche Pflichtenkreise nach Art. 23 und Art. 24, die in dieser Arbeitshilfe nur als Hinweis (Zeile D.28) enthalten sind.</t>
  </si>
  <si>
    <t xml:space="preserve">01 — KI-Inventar</t>
  </si>
  <si>
    <t xml:space="preserve">Jede Zeile ein KI-System. Auch KI, die in eingekaufter Software eingebettet ist, gehört hierher. Das Blatt startet leer — ein ausgefülltes Beispiel finden Sie auf Blatt 09_Beispiel.</t>
  </si>
  <si>
    <t xml:space="preserve">System-ID</t>
  </si>
  <si>
    <t xml:space="preserve">Bezeichnung</t>
  </si>
  <si>
    <t xml:space="preserve">Anbieter / Hersteller</t>
  </si>
  <si>
    <t xml:space="preserve">Zweck und Anwendungsfall</t>
  </si>
  <si>
    <t xml:space="preserve">Fachbereich</t>
  </si>
  <si>
    <t xml:space="preserve">Verarbeitete Datenarten</t>
  </si>
  <si>
    <t xml:space="preserve">Personenbezug</t>
  </si>
  <si>
    <t xml:space="preserve">Einsatzstatus</t>
  </si>
  <si>
    <t xml:space="preserve">Fachlich verantwortlich</t>
  </si>
  <si>
    <t xml:space="preserve">Vertrag / Bezugsquelle</t>
  </si>
  <si>
    <t xml:space="preserve">Bemerkung</t>
  </si>
  <si>
    <t xml:space="preserve">02 — Rollen-Check (Anbieter oder Betreiber?)</t>
  </si>
  <si>
    <t xml:space="preserve">Je System beantworten. Achtung Art. 25: Eigenlabeling, wesentliche Veränderung oder Zweckänderung machen aus einem Betreiber einen Anbieter — mit allen Pflichten nach Art. 16.</t>
  </si>
  <si>
    <t xml:space="preserve">Bezeichnung (autom.)</t>
  </si>
  <si>
    <t xml:space="preserve">Entwickeln wir es (oder lassen entwickeln) und bringen es unter eigenem Namen in Verkehr / nehmen es in Betrieb?
Art. 3 Nr. 3</t>
  </si>
  <si>
    <t xml:space="preserve">Verwenden wir es in eigener beruflicher Verantwortung?
Art. 3 Nr. 4</t>
  </si>
  <si>
    <t xml:space="preserve">Eigenlabeling auf fremdem Hochrisiko-System?
Art. 25 Abs. 1 lit. a</t>
  </si>
  <si>
    <t xml:space="preserve">Wesentliche Veränderung eines Hochrisiko-Systems?
Art. 25 Abs. 1 lit. b</t>
  </si>
  <si>
    <t xml:space="preserve">Zweckänderung, die zum Hochrisiko-System führt?
Art. 25 Abs. 1 lit. c</t>
  </si>
  <si>
    <t xml:space="preserve">Bringen wir es als Produkthersteller mit unserem Produkt unter eigenem Namen in Verkehr?
Art. 25 Abs. 3</t>
  </si>
  <si>
    <t xml:space="preserve">Ergebnis: Rolle (autom.)</t>
  </si>
  <si>
    <t xml:space="preserve">Hinweis (autom.)</t>
  </si>
  <si>
    <t xml:space="preserve">Geprüft am</t>
  </si>
  <si>
    <t xml:space="preserve">Geprüft von</t>
  </si>
  <si>
    <t xml:space="preserve">03 — Risiko-Einstufung</t>
  </si>
  <si>
    <t xml:space="preserve">Prüfkette in dieser Reihenfolge: verboten (Art. 5) → Hochrisiko Anhang I (Abschnitt A oder B!) → Hochrisiko Anhang III → Transparenz (Art. 50) → geringes Risiko. Das Ergebnis ist ein automatischer Prüfungsvorschlag — KEINE Freigabeentscheidung und keine Rechtsprüfung.</t>
  </si>
  <si>
    <t xml:space="preserve">Verbotene Praktik nach Art. 5?
(inkl. NCII/CSAM ab 02.12.2026)</t>
  </si>
  <si>
    <t xml:space="preserve">Anhang I: Sicherheitsbauteil eines drittkonformitätsbewerteten Produkts ODER selbst ein solches Produkt?
Art. 6 Abs. 1 lit. a und b, Art. 3 Nr. 14 n. F.</t>
  </si>
  <si>
    <t xml:space="preserve">Anhang I — Abschnitt A oder B?
Art. 2 Abs. 2 n. F.</t>
  </si>
  <si>
    <t xml:space="preserve">Konkreter Rechtsakt aus Anhang I (Nummer und Bezeichnung)</t>
  </si>
  <si>
    <t xml:space="preserve">Anhang III: Anwendungsbereich?
Art. 6 Abs. 2</t>
  </si>
  <si>
    <t xml:space="preserve">Profiling natürlicher Personen?
Art. 6 Abs. 3 UAbs. 3</t>
  </si>
  <si>
    <t xml:space="preserve">Ausnahmefilter Art. 6 Abs. 3 erfüllt?
(a–d und kein erhebliches Risiko)</t>
  </si>
  <si>
    <t xml:space="preserve">Transparenzfall nach Art. 50?</t>
  </si>
  <si>
    <t xml:space="preserve">Ergebnis der ersten Einordnung (autom.)
keine Freigabeentscheidung</t>
  </si>
  <si>
    <t xml:space="preserve">Anwendbar ab (autom.)</t>
  </si>
  <si>
    <t xml:space="preserve">Registrierung EU-Datenbank (autom.)</t>
  </si>
  <si>
    <t xml:space="preserve">Zusätzlich Art. 50 (autom.)</t>
  </si>
  <si>
    <t xml:space="preserve">Juristisch bestätigt?</t>
  </si>
  <si>
    <t xml:space="preserve">Status der Einstufung (autom.)</t>
  </si>
  <si>
    <t xml:space="preserve">Begründung / Dokumentation der Bewertung</t>
  </si>
  <si>
    <t xml:space="preserve">Geprüft am
(festes Datum, manuell)</t>
  </si>
  <si>
    <t xml:space="preserve">Prüfgrundlage (Rechtsstand)</t>
  </si>
  <si>
    <t xml:space="preserve">04 — Pflichten-Matrix</t>
  </si>
  <si>
    <t xml:space="preserve">Katalog der Pflichten mit Fundstelle, Rolle, Risikoklasse und Frist. Spalten H bis M sind Ihre Eingabefelder; die Ampel in Spalte N berechnet sich daraus. WICHTIG: Dieser Katalog gilt für das Unternehmen als Ganzes. Wenn Sie Systeme mit unterschiedlicher Rolle oder Risikoklasse betreiben, legen Sie je System eine Kopie dieses Blattes an. Hochrisiko-Termine (02.12.2027 / 02.08.2028) sind Planungsannahmen — siehe Blatt 00_Anleitung, Abschnitt „Reichweite der Verschiebung“.</t>
  </si>
  <si>
    <t xml:space="preserve">Nr.</t>
  </si>
  <si>
    <t xml:space="preserve">Bereich</t>
  </si>
  <si>
    <t xml:space="preserve">Pflicht</t>
  </si>
  <si>
    <t xml:space="preserve">Fundstelle</t>
  </si>
  <si>
    <t xml:space="preserve">Gilt für Rolle</t>
  </si>
  <si>
    <t xml:space="preserve">Gilt für Risikoklasse</t>
  </si>
  <si>
    <t xml:space="preserve">Anwendbar ab</t>
  </si>
  <si>
    <t xml:space="preserve">Relevant für uns?</t>
  </si>
  <si>
    <t xml:space="preserve">Status</t>
  </si>
  <si>
    <t xml:space="preserve">Verantwortlich</t>
  </si>
  <si>
    <t xml:space="preserve">Fällig bis</t>
  </si>
  <si>
    <t xml:space="preserve">Nachweisdokument</t>
  </si>
  <si>
    <t xml:space="preserve">Ampel (autom.)</t>
  </si>
  <si>
    <t xml:space="preserve">D.1</t>
  </si>
  <si>
    <t xml:space="preserve">Querschnitt</t>
  </si>
  <si>
    <t xml:space="preserve">Maßnahmen ergreifen, um die Entwicklung der KI-Kompetenz des Personals zu unterstützen</t>
  </si>
  <si>
    <t xml:space="preserve">Art. 4 Abs. 1 n. F.</t>
  </si>
  <si>
    <t xml:space="preserve">Anbieter und Betreiber</t>
  </si>
  <si>
    <t xml:space="preserve">alle</t>
  </si>
  <si>
    <t xml:space="preserve">gilt seit 02.02.2025</t>
  </si>
  <si>
    <t xml:space="preserve">D.2</t>
  </si>
  <si>
    <t xml:space="preserve">Auch Personen einbeziehen, die im Auftrag mit Betrieb und Nutzung befasst sind (Dienstleister, Leiharbeit, Freelancer)</t>
  </si>
  <si>
    <t xml:space="preserve">D.3</t>
  </si>
  <si>
    <t xml:space="preserve">Schulungsmaßnahmen und Teilnahme dokumentieren</t>
  </si>
  <si>
    <t xml:space="preserve">laufend</t>
  </si>
  <si>
    <t xml:space="preserve">D.4</t>
  </si>
  <si>
    <t xml:space="preserve">Verbote</t>
  </si>
  <si>
    <t xml:space="preserve">Keine unterschwellige Beeinflussung / Manipulation mit erheblichem Schadenspotenzial</t>
  </si>
  <si>
    <t xml:space="preserve">Art. 5 Abs. 1 lit. a</t>
  </si>
  <si>
    <t xml:space="preserve">D.5</t>
  </si>
  <si>
    <t xml:space="preserve">Keine Ausnutzung von Schutzbedürftigkeit (Alter, Behinderung, soziale/wirtschaftliche Lage)</t>
  </si>
  <si>
    <t xml:space="preserve">Art. 5 Abs. 1 lit. b</t>
  </si>
  <si>
    <t xml:space="preserve">D.6</t>
  </si>
  <si>
    <t xml:space="preserve">Kein Social Scoring</t>
  </si>
  <si>
    <t xml:space="preserve">Art. 5 Abs. 1 lit. c</t>
  </si>
  <si>
    <t xml:space="preserve">D.7</t>
  </si>
  <si>
    <t xml:space="preserve">Keine Straftatprognose allein aus Profiling oder Persönlichkeitsmerkmalen</t>
  </si>
  <si>
    <t xml:space="preserve">Art. 5 Abs. 1 lit. d</t>
  </si>
  <si>
    <t xml:space="preserve">D.8</t>
  </si>
  <si>
    <t xml:space="preserve">Kein ungezieltes Scraping von Gesichtsbildern zum Aufbau von Erkennungsdatenbanken</t>
  </si>
  <si>
    <t xml:space="preserve">Art. 5 Abs. 1 lit. e</t>
  </si>
  <si>
    <t xml:space="preserve">D.9</t>
  </si>
  <si>
    <t xml:space="preserve">Keine Emotionserkennung am Arbeitsplatz oder in Bildungseinrichtungen (außer medizinische/Sicherheitsgründe)</t>
  </si>
  <si>
    <t xml:space="preserve">Art. 5 Abs. 1 lit. f</t>
  </si>
  <si>
    <t xml:space="preserve">D.10</t>
  </si>
  <si>
    <t xml:space="preserve">Keine biometrische Kategorisierung nach sensiblen Merkmalen</t>
  </si>
  <si>
    <t xml:space="preserve">Art. 5 Abs. 1 lit. g</t>
  </si>
  <si>
    <t xml:space="preserve">D.11</t>
  </si>
  <si>
    <t xml:space="preserve">Keine biometrische Echtzeit-Fernidentifizierung im öffentlichen Raum zu Strafverfolgungszwecken</t>
  </si>
  <si>
    <t xml:space="preserve">Art. 5 Abs. 1 lit. h</t>
  </si>
  <si>
    <t xml:space="preserve">D.12</t>
  </si>
  <si>
    <t xml:space="preserve">NEU: Keine Erzeugung/Manipulation nicht-einvernehmlicher intimer Darstellungen (NCII)</t>
  </si>
  <si>
    <t xml:space="preserve">Art. 5 Abs. 1 lit. ba n. F.</t>
  </si>
  <si>
    <t xml:space="preserve">D.13</t>
  </si>
  <si>
    <t xml:space="preserve">NEU: Keine Erzeugung/Manipulation von Material i. S. v. Art. 2 lit. c und e RL 2011/93/EU (CSAM)</t>
  </si>
  <si>
    <t xml:space="preserve">Art. 5 Abs. 1 lit. bb n. F.</t>
  </si>
  <si>
    <t xml:space="preserve">D.14</t>
  </si>
  <si>
    <t xml:space="preserve">Anbieter generativer Systeme: zumutbare und angemessene technische Schutzmaßnahmen gegen absehbaren/reproduzierbaren Missbrauch</t>
  </si>
  <si>
    <t xml:space="preserve">Art. 5 Abs. 1a n. F.</t>
  </si>
  <si>
    <t xml:space="preserve">Anbieter</t>
  </si>
  <si>
    <t xml:space="preserve">D.15</t>
  </si>
  <si>
    <t xml:space="preserve">Transparenz</t>
  </si>
  <si>
    <t xml:space="preserve">Systeme mit direkter Interaktion so gestalten, dass die KI-Interaktion erkennbar ist</t>
  </si>
  <si>
    <t xml:space="preserve">Art. 50 Abs. 1</t>
  </si>
  <si>
    <t xml:space="preserve">D.16</t>
  </si>
  <si>
    <t xml:space="preserve">Synthetische Audio-, Bild-, Video- und Textinhalte maschinenlesbar kennzeichnen</t>
  </si>
  <si>
    <t xml:space="preserve">Art. 50 Abs. 2</t>
  </si>
  <si>
    <t xml:space="preserve">D.17</t>
  </si>
  <si>
    <t xml:space="preserve">Bestandssysteme (in Verkehr vor 02.08.2026): Kennzeichnung nach Art. 50 Abs. 2 nachrüsten</t>
  </si>
  <si>
    <t xml:space="preserve">Art. 111 Abs. 4 n. F.</t>
  </si>
  <si>
    <t xml:space="preserve">D.18</t>
  </si>
  <si>
    <t xml:space="preserve">Bei Emotionserkennung / biometrischer Kategorisierung: betroffene Personen informieren</t>
  </si>
  <si>
    <t xml:space="preserve">Art. 50 Abs. 3</t>
  </si>
  <si>
    <t xml:space="preserve">Betreiber</t>
  </si>
  <si>
    <t xml:space="preserve">D.19</t>
  </si>
  <si>
    <t xml:space="preserve">Deepfakes offenlegen (bei Kunst/Satire: geeignete, werkschonende Offenlegung)</t>
  </si>
  <si>
    <t xml:space="preserve">Art. 50 Abs. 4 S. 1 und 3</t>
  </si>
  <si>
    <t xml:space="preserve">D.20</t>
  </si>
  <si>
    <t xml:space="preserve">KI-Texte zu Angelegenheiten öffentlichen Interesses offenlegen (außer bei redaktioneller Verantwortung)</t>
  </si>
  <si>
    <t xml:space="preserve">Art. 50 Abs. 4 S. 4–5</t>
  </si>
  <si>
    <t xml:space="preserve">D.21</t>
  </si>
  <si>
    <t xml:space="preserve">Information spätestens bei der ersten Interaktion, klar, eindeutig und barrierefrei</t>
  </si>
  <si>
    <t xml:space="preserve">Art. 50 Abs. 5</t>
  </si>
  <si>
    <t xml:space="preserve">D.22</t>
  </si>
  <si>
    <t xml:space="preserve">Organisation</t>
  </si>
  <si>
    <t xml:space="preserve">KI-Inventar aufbauen und laufend pflegen</t>
  </si>
  <si>
    <t xml:space="preserve">Voraussetzung aller Pflichten</t>
  </si>
  <si>
    <t xml:space="preserve">D.23</t>
  </si>
  <si>
    <t xml:space="preserve">Rolle und Risikoklasse je System bestimmen und dokumentieren</t>
  </si>
  <si>
    <t xml:space="preserve">Art. 3 Nrn. 3, 4; Art. 6</t>
  </si>
  <si>
    <t xml:space="preserve">D.24</t>
  </si>
  <si>
    <t xml:space="preserve">Interne KI-Richtlinie erlassen (zulässige Nutzung, Freigabeprozess, Verbote, Meldewege)</t>
  </si>
  <si>
    <t xml:space="preserve">Organisationspflicht</t>
  </si>
  <si>
    <t xml:space="preserve">D.25</t>
  </si>
  <si>
    <t xml:space="preserve">Lieferantenverträge prüfen: Rollenabgrenzung, Informations- und Mitwirkungspflichten, Zugang zu Doku und Protokollen</t>
  </si>
  <si>
    <t xml:space="preserve">Art. 25 Abs. 2 n. F., Art. 26</t>
  </si>
  <si>
    <t xml:space="preserve">D.26</t>
  </si>
  <si>
    <t xml:space="preserve">Mitbestimmung prüfen (Betriebsrat, nationale Beteiligungsrechte)</t>
  </si>
  <si>
    <t xml:space="preserve">Art. 2 Abs. 11, Art. 26 Abs. 7 S. 2</t>
  </si>
  <si>
    <t xml:space="preserve">vor Einführung</t>
  </si>
  <si>
    <t xml:space="preserve">D.27</t>
  </si>
  <si>
    <t xml:space="preserve">Beschwerdeeingänge über die Marktüberwachungsbehörde einplanen (jede Person kann Beschwerde einlegen)</t>
  </si>
  <si>
    <t xml:space="preserve">Art. 85</t>
  </si>
  <si>
    <t xml:space="preserve">D.28</t>
  </si>
  <si>
    <t xml:space="preserve">Prüfen, ob wir zusätzlich Einführer oder Händler sind — eigene Pflichtenkreise</t>
  </si>
  <si>
    <t xml:space="preserve">Art. 23, Art. 24</t>
  </si>
  <si>
    <t xml:space="preserve">Einführer / Händler</t>
  </si>
  <si>
    <t xml:space="preserve">Hochrisiko</t>
  </si>
  <si>
    <t xml:space="preserve">02.12.2027 / 02.08.2028</t>
  </si>
  <si>
    <t xml:space="preserve">D.29</t>
  </si>
  <si>
    <t xml:space="preserve">Bestandssysteme: Anwendbarkeit nach Art. 111 prüfen (Stichtag dynamisch; maßgeblich sind Art und Modell, ErwG 39 der VO 2026/1744)</t>
  </si>
  <si>
    <t xml:space="preserve">Art. 111 Abs. 1–4 n. F.</t>
  </si>
  <si>
    <t xml:space="preserve">D.30</t>
  </si>
  <si>
    <t xml:space="preserve">Datenschutz</t>
  </si>
  <si>
    <t xml:space="preserve">n. F.: Anbieter von Hochrisiko-Systemen dürfen besondere Datenkategorien zur Bias-Erkennung verarbeiten, soweit unbedingt erforderlich und sämtliche Bedingungen des Art. 4a Abs. 1 lit. a–f erfüllt sind (Art. 10 Abs. 5 a. F. gestrichen); keine Pflicht zur Bias-Prüfung</t>
  </si>
  <si>
    <t xml:space="preserve">Art. 4a Abs. 1 n. F.</t>
  </si>
  <si>
    <t xml:space="preserve">gilt seit 27.07.2026</t>
  </si>
  <si>
    <t xml:space="preserve">D.31</t>
  </si>
  <si>
    <t xml:space="preserve">n. F.: Betreiber von Hochrisiko-Systemen sowie Anbieter und Betreiber ANDERER KI-Systeme und -Modelle dürfen besondere Datenkategorien zur Bias-Erkennung verarbeiten — zusätzlich zu allen Bedingungen des Abs. 1 nur bei Verzerrungen mit Auswirkung auf Gesundheit, Sicherheit, Grundrechte oder unionsrechtlich verbotene Diskriminierung</t>
  </si>
  <si>
    <t xml:space="preserve">Art. 4a Abs. 2 n. F.</t>
  </si>
  <si>
    <t xml:space="preserve">D.32</t>
  </si>
  <si>
    <t xml:space="preserve">Abgrenzung: Art. 4a ist keine allgemeine Rechtsgrundlage und ersetzt keine datenschutzrechtliche Prüfung — die Bedingungen gelten ZUSÄTZLICH zu DSGVO, VO (EU) 2018/1725 und RL (EU) 2016/680</t>
  </si>
  <si>
    <t xml:space="preserve">Art. 4a Abs. 1 UAbs. 1 n. F., Art. 9 DSGVO</t>
  </si>
  <si>
    <t xml:space="preserve">D.33</t>
  </si>
  <si>
    <t xml:space="preserve">Anhang-I-Systeme: konkreten Rechtsakt und Abschnitt (A oder B) bestimmen und dokumentieren. Bei Abschnitt B gelten nur Art. 6 Abs. 1, Art. 60a und Art. 102–112; die Anforderungen laufen über das Sektorrecht</t>
  </si>
  <si>
    <t xml:space="preserve">Anhang I; Art. 2 Abs. 2 n. F.</t>
  </si>
  <si>
    <t xml:space="preserve">Hochrisiko Anhang I</t>
  </si>
  <si>
    <t xml:space="preserve">A.1</t>
  </si>
  <si>
    <t xml:space="preserve">Technische und organisatorische Maßnahmen zur Verwendung gemäß Betriebsanleitung</t>
  </si>
  <si>
    <t xml:space="preserve">Art. 26 Abs. 1</t>
  </si>
  <si>
    <t xml:space="preserve">A.2</t>
  </si>
  <si>
    <t xml:space="preserve">Menschliche Aufsicht natürlichen Personen mit Kompetenz, Ausbildung UND Befugnis übertragen</t>
  </si>
  <si>
    <t xml:space="preserve">Art. 26 Abs. 2</t>
  </si>
  <si>
    <t xml:space="preserve">A.3</t>
  </si>
  <si>
    <t xml:space="preserve">Aufsichtführenden die erforderliche Unterstützung (Zeit, Werkzeuge, Zugriff) bereitstellen</t>
  </si>
  <si>
    <t xml:space="preserve">A.4</t>
  </si>
  <si>
    <t xml:space="preserve">Eingabedaten entsprechen der Zweckbestimmung und sind ausreichend repräsentativ</t>
  </si>
  <si>
    <t xml:space="preserve">Art. 26 Abs. 4</t>
  </si>
  <si>
    <t xml:space="preserve">A.5</t>
  </si>
  <si>
    <t xml:space="preserve">Betrieb anhand der Betriebsanleitung überwachen</t>
  </si>
  <si>
    <t xml:space="preserve">Art. 26 Abs. 5 S. 1</t>
  </si>
  <si>
    <t xml:space="preserve">A.6</t>
  </si>
  <si>
    <t xml:space="preserve">Bei Risiko i. S. d. Art. 79 Abs. 1: unverzüglich melden UND Verwendung aussetzen</t>
  </si>
  <si>
    <t xml:space="preserve">Art. 26 Abs. 5 S. 2</t>
  </si>
  <si>
    <t xml:space="preserve">A.7</t>
  </si>
  <si>
    <t xml:space="preserve">Bei schwerwiegendem Vorfall: zuerst Anbieter, dann Einführer/Händler und Marktüberwachungsbehörden informieren</t>
  </si>
  <si>
    <t xml:space="preserve">Art. 26 Abs. 5 S. 3</t>
  </si>
  <si>
    <t xml:space="preserve">A.8</t>
  </si>
  <si>
    <t xml:space="preserve">Protokolle aufbewahren — angemessener Zeitraum, mindestens sechs Monate</t>
  </si>
  <si>
    <t xml:space="preserve">Art. 26 Abs. 6</t>
  </si>
  <si>
    <t xml:space="preserve">A.9</t>
  </si>
  <si>
    <t xml:space="preserve">Vor Einsatz am Arbeitsplatz: Arbeitnehmervertreter UND betroffene Beschäftigte informieren</t>
  </si>
  <si>
    <t xml:space="preserve">Art. 26 Abs. 7</t>
  </si>
  <si>
    <t xml:space="preserve">A.10</t>
  </si>
  <si>
    <t xml:space="preserve">Öffentliche Stellen: Registrierungspflichten erfüllen; bei fehlender Registrierung von der Verwendung absehen</t>
  </si>
  <si>
    <t xml:space="preserve">Art. 26 Abs. 8</t>
  </si>
  <si>
    <t xml:space="preserve">A.11</t>
  </si>
  <si>
    <t xml:space="preserve">Anbieterinformationen nach Art. 13 für eine ggf. erforderliche DSFA verwenden</t>
  </si>
  <si>
    <t xml:space="preserve">Art. 26 Abs. 9</t>
  </si>
  <si>
    <t xml:space="preserve">A.12</t>
  </si>
  <si>
    <t xml:space="preserve">Bei Anhang-III-Systemen: betroffene Personen über die Verwendung informieren (auch bei bloßer Entscheidungsunterstützung)</t>
  </si>
  <si>
    <t xml:space="preserve">Art. 26 Abs. 11</t>
  </si>
  <si>
    <t xml:space="preserve">Hochrisiko Anhang III</t>
  </si>
  <si>
    <t xml:space="preserve">A.13</t>
  </si>
  <si>
    <t xml:space="preserve">Mit den zuständigen Behörden zusammenarbeiten</t>
  </si>
  <si>
    <t xml:space="preserve">Art. 26 Abs. 12</t>
  </si>
  <si>
    <t xml:space="preserve">A.14</t>
  </si>
  <si>
    <t xml:space="preserve">Anspruch auf Erläuterung der Entscheidung vorbereiten. Nur Anhang III AUSSER Nr. 2 und nur bei rechtlicher Auswirkung oder ähnlich erheblicher Beeinträchtigung; subsidiär zu anderem Unionsrecht</t>
  </si>
  <si>
    <t xml:space="preserve">Art. 86 Abs. 1–3</t>
  </si>
  <si>
    <t xml:space="preserve">Hochrisiko Anhang III (außer Nr. 2)</t>
  </si>
  <si>
    <t xml:space="preserve">02.08.2026, praktisch mit HR-Frist</t>
  </si>
  <si>
    <t xml:space="preserve">A.19</t>
  </si>
  <si>
    <t xml:space="preserve">Nur bei nachträglicher biometrischer Fernidentifizierung zu Strafverfolgungszwecken: Genehmigung spätestens binnen 48 Stunden, Löschung bei Ablehnung, Dokumentation, Jahresberichte</t>
  </si>
  <si>
    <t xml:space="preserve">Art. 26 Abs. 10</t>
  </si>
  <si>
    <t xml:space="preserve">A.15</t>
  </si>
  <si>
    <t xml:space="preserve">GRFA</t>
  </si>
  <si>
    <t xml:space="preserve">Prüfen, ob wir zur Grundrechte-Folgenabschätzung verpflichtet sind (öffentliche Stelle, öffentlicher Dienst, Anhang III Nr. 5 lit. b/c)</t>
  </si>
  <si>
    <t xml:space="preserve">Art. 27 Abs. 1</t>
  </si>
  <si>
    <t xml:space="preserve">vor Inbetriebnahme</t>
  </si>
  <si>
    <t xml:space="preserve">A.16</t>
  </si>
  <si>
    <t xml:space="preserve">GRFA mit allen sechs Pflichtinhalten (lit. a–f) erstellen</t>
  </si>
  <si>
    <t xml:space="preserve">Art. 27 Abs. 1 lit. a–f</t>
  </si>
  <si>
    <t xml:space="preserve">A.17</t>
  </si>
  <si>
    <t xml:space="preserve">Ergebnisse der Marktüberwachungsbehörde mitteilen (Muster nach Art. 27 Abs. 5)</t>
  </si>
  <si>
    <t xml:space="preserve">Art. 27 Abs. 3</t>
  </si>
  <si>
    <t xml:space="preserve">nach Durchführung</t>
  </si>
  <si>
    <t xml:space="preserve">A.18</t>
  </si>
  <si>
    <t xml:space="preserve">Soweit durch DSFA erfüllt: Verweise oder Teile der DSFA in die GRFA aufnehmen</t>
  </si>
  <si>
    <t xml:space="preserve">Art. 27 Abs. 4 n. F.</t>
  </si>
  <si>
    <t xml:space="preserve">B.1</t>
  </si>
  <si>
    <t xml:space="preserve">Risikomanagementsystem einrichten, anwenden, dokumentieren, aufrechterhalten (kontinuierlich, iterativ)</t>
  </si>
  <si>
    <t xml:space="preserve">Art. 9</t>
  </si>
  <si>
    <t xml:space="preserve">B.2</t>
  </si>
  <si>
    <t xml:space="preserve">Daten-Governance: Trainings-, Validierungs- und Testdaten relevant, repräsentativ, so weit wie möglich fehlerfrei</t>
  </si>
  <si>
    <t xml:space="preserve">Art. 10 Abs. 2–4</t>
  </si>
  <si>
    <t xml:space="preserve">B.3</t>
  </si>
  <si>
    <t xml:space="preserve">Untersuchung auf Verzerrungen (Bias); Rechtsgrundlage für besondere Datenkategorien jetzt Art. 4a n. F.</t>
  </si>
  <si>
    <t xml:space="preserve">Art. 10 Abs. 2 lit. f und g, Art. 4a n. F.</t>
  </si>
  <si>
    <t xml:space="preserve">B.4</t>
  </si>
  <si>
    <t xml:space="preserve">Technische Dokumentation nach Anhang IV erstellen und aktuell halten</t>
  </si>
  <si>
    <t xml:space="preserve">Art. 11, Anhang IV</t>
  </si>
  <si>
    <t xml:space="preserve">B.5</t>
  </si>
  <si>
    <t xml:space="preserve">KMU und kleine Midcaps: vereinfachtes Formular der Kommission nutzen (notifizierte Stellen müssen es akzeptieren)</t>
  </si>
  <si>
    <t xml:space="preserve">Art. 11 Abs. 1 UAbs. 2 n. F.</t>
  </si>
  <si>
    <t xml:space="preserve">B.6</t>
  </si>
  <si>
    <t xml:space="preserve">Automatische Protokollierung über die Lebensdauer ermöglichen</t>
  </si>
  <si>
    <t xml:space="preserve">Art. 12</t>
  </si>
  <si>
    <t xml:space="preserve">B.7</t>
  </si>
  <si>
    <t xml:space="preserve">Betriebsanleitung mit allen Pflichtinhalten beifügen</t>
  </si>
  <si>
    <t xml:space="preserve">Art. 13</t>
  </si>
  <si>
    <t xml:space="preserve">B.8</t>
  </si>
  <si>
    <t xml:space="preserve">System so gestalten, dass wirksame menschliche Aufsicht möglich ist (inkl. Stopptaste)</t>
  </si>
  <si>
    <t xml:space="preserve">Art. 14</t>
  </si>
  <si>
    <t xml:space="preserve">B.9</t>
  </si>
  <si>
    <t xml:space="preserve">Bei biometrischer Identifizierung nach Anhang III Nr. 1 lit. a: Vier-Augen-Prinzip — Gestaltungspflicht des Anbieters, Handlungsschranke für den Betreiber</t>
  </si>
  <si>
    <t xml:space="preserve">Art. 14 Abs. 5</t>
  </si>
  <si>
    <t xml:space="preserve">B.10</t>
  </si>
  <si>
    <t xml:space="preserve">Genauigkeit, Robustheit und Cybersicherheit über den Lebenszyklus sicherstellen</t>
  </si>
  <si>
    <t xml:space="preserve">Art. 15</t>
  </si>
  <si>
    <t xml:space="preserve">B.11</t>
  </si>
  <si>
    <t xml:space="preserve">Widerstandsfähigkeit gegen Angriffe (Data/Model Poisoning, adversarial examples, Model Evasion)</t>
  </si>
  <si>
    <t xml:space="preserve">Art. 15 Abs. 5</t>
  </si>
  <si>
    <t xml:space="preserve">B.12</t>
  </si>
  <si>
    <t xml:space="preserve">Qualitätsmanagementsystem einrichten (schriftliche Regeln, Verfahren, Anweisungen)</t>
  </si>
  <si>
    <t xml:space="preserve">Art. 17</t>
  </si>
  <si>
    <t xml:space="preserve">B.13</t>
  </si>
  <si>
    <t xml:space="preserve">Nur KMU inkl. Start-ups ohne Partner-/verbundene Unternehmen: vereinfachtes QMS. Kleine Midcaps sind NICHT erfasst; befreit nicht von Art. 9–15, 72, 73 (Art. 63 Abs. 2)</t>
  </si>
  <si>
    <t xml:space="preserve">Art. 63 Abs. 1 n. F., Abs. 2</t>
  </si>
  <si>
    <t xml:space="preserve">B.14</t>
  </si>
  <si>
    <t xml:space="preserve">Dokumentation zehn Jahre aufbewahren</t>
  </si>
  <si>
    <t xml:space="preserve">Art. 18</t>
  </si>
  <si>
    <t xml:space="preserve">B.15</t>
  </si>
  <si>
    <t xml:space="preserve">Automatisch erzeugte Protokolle aufbewahren (mindestens sechs Monate)</t>
  </si>
  <si>
    <t xml:space="preserve">Art. 19</t>
  </si>
  <si>
    <t xml:space="preserve">B.16</t>
  </si>
  <si>
    <t xml:space="preserve">Bei Nichtkonformität: unverzüglich Korrekturmaßnahmen und Information der Marktteilnehmer</t>
  </si>
  <si>
    <t xml:space="preserve">Art. 20</t>
  </si>
  <si>
    <t xml:space="preserve">B.17</t>
  </si>
  <si>
    <t xml:space="preserve">Art. 21</t>
  </si>
  <si>
    <t xml:space="preserve">B.18</t>
  </si>
  <si>
    <t xml:space="preserve">Drittstaatenanbieter: Bevollmächtigten in der Union benennen</t>
  </si>
  <si>
    <t xml:space="preserve">Art. 22</t>
  </si>
  <si>
    <t xml:space="preserve">B.19</t>
  </si>
  <si>
    <t xml:space="preserve">Konformitätsbewertung durchführen. Wahl zwischen Anhang VI und Anhang VII nur bei Anhang III Nr. 1 (Biometrie); bei Anhang III Nrn. 2–8 stets interne Kontrolle nach Anhang VI</t>
  </si>
  <si>
    <t xml:space="preserve">Art. 43 Abs. 1, 2 und 3 n. F.</t>
  </si>
  <si>
    <t xml:space="preserve">B.20</t>
  </si>
  <si>
    <t xml:space="preserve">EU-Konformitätserklärung ausstellen (Anhang V) und zehn Jahre aufbewahren</t>
  </si>
  <si>
    <t xml:space="preserve">Art. 47</t>
  </si>
  <si>
    <t xml:space="preserve">B.21</t>
  </si>
  <si>
    <t xml:space="preserve">CE-Kennzeichnung anbringen, ggf. mit Nummer der notifizierten Stelle</t>
  </si>
  <si>
    <t xml:space="preserve">Art. 48</t>
  </si>
  <si>
    <t xml:space="preserve">B.22</t>
  </si>
  <si>
    <t xml:space="preserve">System in der EU-Datenbank registrieren. Gilt nur für Anhang III AUSSER Nr. 2 (kritische Infrastruktur: nationale Registrierung nach Art. 49 Abs. 5); für Anhang I besteht keine Registrierung nach Art. 49 Abs. 1</t>
  </si>
  <si>
    <t xml:space="preserve">Art. 49 Abs. 1 und 5</t>
  </si>
  <si>
    <t xml:space="preserve">B.23</t>
  </si>
  <si>
    <t xml:space="preserve">Bei Selbsteinstufung als nicht hochriskant: Bewertung VOR Inverkehrbringen dokumentieren und nach Art. 49 Abs. 2 registrieren</t>
  </si>
  <si>
    <t xml:space="preserve">Art. 6 Abs. 4, Art. 49 Abs. 2</t>
  </si>
  <si>
    <t xml:space="preserve">Kein Hochrisiko (Art. 6 Abs. 3)</t>
  </si>
  <si>
    <t xml:space="preserve">B.24</t>
  </si>
  <si>
    <t xml:space="preserve">Beobachtungssystem nach dem Inverkehrbringen einrichten und Plan erstellen</t>
  </si>
  <si>
    <t xml:space="preserve">Art. 72</t>
  </si>
  <si>
    <t xml:space="preserve">B.25</t>
  </si>
  <si>
    <t xml:space="preserve">Schwerwiegende Vorfälle melden — Regelfall spätestens 15 Tage</t>
  </si>
  <si>
    <t xml:space="preserve">Art. 73 Abs. 2</t>
  </si>
  <si>
    <t xml:space="preserve">B.26</t>
  </si>
  <si>
    <t xml:space="preserve">Schwerwiegende Vorfälle melden — weitverbreiteter Verstoß / kritische Infrastruktur: spätestens 2 Tage</t>
  </si>
  <si>
    <t xml:space="preserve">Art. 73 Abs. 3</t>
  </si>
  <si>
    <t xml:space="preserve">B.27</t>
  </si>
  <si>
    <t xml:space="preserve">Schwerwiegende Vorfälle melden — Tod einer Person: spätestens 10 Tage</t>
  </si>
  <si>
    <t xml:space="preserve">Art. 73 Abs. 4</t>
  </si>
  <si>
    <t xml:space="preserve">B.28</t>
  </si>
  <si>
    <t xml:space="preserve">Barrierefreiheitsanforderungen nach RL (EU) 2016/2102 und RL (EU) 2019/882 erfüllen</t>
  </si>
  <si>
    <t xml:space="preserve">Art. 16 lit. l</t>
  </si>
  <si>
    <t xml:space="preserve">C.1</t>
  </si>
  <si>
    <t xml:space="preserve">Rollenwechsel</t>
  </si>
  <si>
    <t xml:space="preserve">Prüfen: Eigenlabeling auf fremdem Hochrisiko-System</t>
  </si>
  <si>
    <t xml:space="preserve">Art. 25 Abs. 1 lit. a</t>
  </si>
  <si>
    <t xml:space="preserve">C.2</t>
  </si>
  <si>
    <t xml:space="preserve">Prüfen: wesentliche Veränderung eines Hochrisiko-Systems</t>
  </si>
  <si>
    <t xml:space="preserve">Art. 25 Abs. 1 lit. b</t>
  </si>
  <si>
    <t xml:space="preserve">C.3</t>
  </si>
  <si>
    <t xml:space="preserve">Prüfen: Zweckänderung, die ein System zum Hochrisiko-System macht (auch bei GPAI-Systemen)</t>
  </si>
  <si>
    <t xml:space="preserve">Art. 25 Abs. 1 lit. c</t>
  </si>
  <si>
    <t xml:space="preserve">C.4</t>
  </si>
  <si>
    <t xml:space="preserve">Vom Erstanbieter die Mitwirkungsleistungen einfordern (Unterlagen, Einschränkungen, technischer Zugang)</t>
  </si>
  <si>
    <t xml:space="preserve">Art. 25 Abs. 2 n. F.</t>
  </si>
  <si>
    <t xml:space="preserve">C.5</t>
  </si>
  <si>
    <t xml:space="preserve">Freigabeprozess: jede Zweckänderung, jedes Fine-Tuning, jedes Eigenlabeling durchläuft eine dokumentierte Rollenprüfung</t>
  </si>
  <si>
    <t xml:space="preserve">G.1</t>
  </si>
  <si>
    <t xml:space="preserve">GPAI</t>
  </si>
  <si>
    <t xml:space="preserve">Nur für Modellanbieter: technische Dokumentation nach Anhang XI</t>
  </si>
  <si>
    <t xml:space="preserve">Art. 53 Abs. 1 lit. a</t>
  </si>
  <si>
    <t xml:space="preserve">gilt seit 02.08.2025</t>
  </si>
  <si>
    <t xml:space="preserve">G.2</t>
  </si>
  <si>
    <t xml:space="preserve">Nur für Modellanbieter: Informationen für nachgelagerte Anbieter nach Anhang XII</t>
  </si>
  <si>
    <t xml:space="preserve">Art. 53 Abs. 1 lit. b</t>
  </si>
  <si>
    <t xml:space="preserve">G.3</t>
  </si>
  <si>
    <t xml:space="preserve">Nur für Modellanbieter: Strategie zur Einhaltung des Urheberrechts (TDM-Rechtsvorbehalt)</t>
  </si>
  <si>
    <t xml:space="preserve">Art. 53 Abs. 1 lit. c</t>
  </si>
  <si>
    <t xml:space="preserve">G.4</t>
  </si>
  <si>
    <t xml:space="preserve">Nur für Modellanbieter: Zusammenfassung der Trainingsinhalte veröffentlichen</t>
  </si>
  <si>
    <t xml:space="preserve">Art. 53 Abs. 1 lit. d</t>
  </si>
  <si>
    <t xml:space="preserve">G.5</t>
  </si>
  <si>
    <t xml:space="preserve">Bei systemischem Risiko (Vermutung ab 10^25 FLOP): Modellbewertung, Red Teaming, Risikominderung, Vorfallmeldung, Cybersicherheit</t>
  </si>
  <si>
    <t xml:space="preserve">Art. 51, Art. 55 Abs. 1</t>
  </si>
  <si>
    <t xml:space="preserve">Hinweis: Der Katalog folgt den Checklisten des Dokumentenpakets. Er ist nach bestem Wissen zusammengestellt, erhebt aber keinen Anspruch auf Vollständigkeit für jeden Anwendungsfall. Fundstellen mit „n. F.“ wurden durch die VO (EU) 2026/1744 geändert.</t>
  </si>
  <si>
    <t xml:space="preserve">05 — Maßnahmenplan</t>
  </si>
  <si>
    <t xml:space="preserve">Offene Punkte aus der Pflichten-Matrix in konkrete Maßnahmen überführen. Die Spalte „Terminstatus“ berechnet sich aus dem Fälligkeitsdatum.</t>
  </si>
  <si>
    <t xml:space="preserve">Betrifft System-ID</t>
  </si>
  <si>
    <t xml:space="preserve">Bezug Pflicht-Nr.</t>
  </si>
  <si>
    <t xml:space="preserve">Festgestellte Lücke</t>
  </si>
  <si>
    <t xml:space="preserve">Maßnahme</t>
  </si>
  <si>
    <t xml:space="preserve">Fortschritt %</t>
  </si>
  <si>
    <t xml:space="preserve">Priorität</t>
  </si>
  <si>
    <t xml:space="preserve">Terminstatus (autom.)</t>
  </si>
  <si>
    <t xml:space="preserve">06 — Dashboard</t>
  </si>
  <si>
    <t xml:space="preserve">Automatische Auswertung der Blätter 01, 03, 04 und 05. Rechtsstand 29.07.2026, Fassung 1.1. Im Auslieferungszustand stehen alle Kennzahlen auf 0 — die produktiven Blätter enthalten keine Beispieldaten. Ein ausgefülltes Beispiel steht auf Blatt 09_Beispiel und wird hier nicht mitgezählt.</t>
  </si>
  <si>
    <t xml:space="preserve">KI-Systeme</t>
  </si>
  <si>
    <t xml:space="preserve">Kennzahl</t>
  </si>
  <si>
    <t xml:space="preserve">Wert</t>
  </si>
  <si>
    <t xml:space="preserve">Hinweis</t>
  </si>
  <si>
    <t xml:space="preserve">Erfasste KI-Systeme (Blatt 01)</t>
  </si>
  <si>
    <t xml:space="preserve">davon eingestuft (Blatt 03)</t>
  </si>
  <si>
    <t xml:space="preserve">VERBOTEN (Art. 5)</t>
  </si>
  <si>
    <t xml:space="preserve">Sofortiger Handlungsbedarf — Einsatz unzulässig</t>
  </si>
  <si>
    <t xml:space="preserve">Planungsannahme: Pflichten ab 02.12.2027</t>
  </si>
  <si>
    <t xml:space="preserve">Hochrisiko Anhang I Abschnitt A</t>
  </si>
  <si>
    <t xml:space="preserve">Planungsannahme: Pflichten ab 02.08.2028</t>
  </si>
  <si>
    <t xml:space="preserve">Hochrisiko Anhang I Abschnitt A und Anhang III</t>
  </si>
  <si>
    <t xml:space="preserve">kumulativ — frühere Frist maßgeblich</t>
  </si>
  <si>
    <t xml:space="preserve">Hochrisiko Anhang I Abschnitt B (Sektorrecht)</t>
  </si>
  <si>
    <t xml:space="preserve">Kapitel III nicht anwendbar; nur Art. 6 Abs. 1, Art. 60a, Art. 102–112 (Art. 2 Abs. 2 n. F.) — Pflichten aus dem Sektorrecht ableiten</t>
  </si>
  <si>
    <t xml:space="preserve">Kein Hochrisiko nach Art. 6 Abs. 3</t>
  </si>
  <si>
    <t xml:space="preserve">Bewertung dokumentieren und nach Art. 49 Abs. 2 registrieren</t>
  </si>
  <si>
    <t xml:space="preserve">Transparenzpflicht (Art. 50)</t>
  </si>
  <si>
    <t xml:space="preserve">Pflichten ab 02.08.2026</t>
  </si>
  <si>
    <t xml:space="preserve">Geringes Risiko</t>
  </si>
  <si>
    <t xml:space="preserve">Keine Pflichten aus den hier geprüften Kategorien — Art. 4 und übriges Recht weiter prüfen</t>
  </si>
  <si>
    <t xml:space="preserve">Einstufung unvollständig</t>
  </si>
  <si>
    <t xml:space="preserve">Angaben nachtragen — bis dahin keine Frist</t>
  </si>
  <si>
    <t xml:space="preserve">Belastbarkeit der Einstufungen (Blatt 03)</t>
  </si>
  <si>
    <t xml:space="preserve">Einstufung juristisch bestätigt</t>
  </si>
  <si>
    <t xml:space="preserve">Arbeitsannahme — nicht bestätigt</t>
  </si>
  <si>
    <t xml:space="preserve">Vor Inbetriebnahme prüfen lassen und Spalte O setzen</t>
  </si>
  <si>
    <t xml:space="preserve">Juristische Prüfung erforderlich</t>
  </si>
  <si>
    <t xml:space="preserve">Ausdrücklich als nicht bestätigt markiert</t>
  </si>
  <si>
    <t xml:space="preserve">Prüfung unvollständig</t>
  </si>
  <si>
    <t xml:space="preserve">Eingaben fehlen</t>
  </si>
  <si>
    <t xml:space="preserve">Einstufungen ohne Prüfdatum</t>
  </si>
  <si>
    <t xml:space="preserve">Prüfdatum in Spalte R nachtragen</t>
  </si>
  <si>
    <t xml:space="preserve">Pflichtenerfüllung (Blatt 04)</t>
  </si>
  <si>
    <t xml:space="preserve">Als relevant markierte Pflichten</t>
  </si>
  <si>
    <t xml:space="preserve">davon erfüllt</t>
  </si>
  <si>
    <t xml:space="preserve">davon in Arbeit</t>
  </si>
  <si>
    <t xml:space="preserve">davon offen</t>
  </si>
  <si>
    <t xml:space="preserve">ohne Statuseintrag</t>
  </si>
  <si>
    <t xml:space="preserve">Bitte Status setzen</t>
  </si>
  <si>
    <t xml:space="preserve">Erfüllungsgrad</t>
  </si>
  <si>
    <t xml:space="preserve">erfüllt geteilt durch relevant, ohne 'nicht anwendbar'</t>
  </si>
  <si>
    <t xml:space="preserve">Noch nicht bewertete Pflichten</t>
  </si>
  <si>
    <t xml:space="preserve">Relevanz noch nicht entschieden</t>
  </si>
  <si>
    <t xml:space="preserve">Maßnahmen (Blatt 05)</t>
  </si>
  <si>
    <t xml:space="preserve">Maßnahmen gesamt</t>
  </si>
  <si>
    <t xml:space="preserve">davon ohne Fälligkeitsdatum</t>
  </si>
  <si>
    <t xml:space="preserve">Termin nachtragen</t>
  </si>
  <si>
    <t xml:space="preserve">überfällig</t>
  </si>
  <si>
    <t xml:space="preserve">Sofort nachsteuern</t>
  </si>
  <si>
    <t xml:space="preserve">fällig in den nächsten 30 Tagen</t>
  </si>
  <si>
    <t xml:space="preserve">abgeschlossen</t>
  </si>
  <si>
    <t xml:space="preserve">Fristen im Blick</t>
  </si>
  <si>
    <t xml:space="preserve">02.08.2026 — Transparenzpflichten (Art. 50)</t>
  </si>
  <si>
    <t xml:space="preserve">02.12.2026 — Neue Verbote NCII/CSAM und Kennzeichnung Bestandssysteme</t>
  </si>
  <si>
    <t xml:space="preserve">02.12.2027 — Hochrisiko Anhang III (Planungsannahme)</t>
  </si>
  <si>
    <t xml:space="preserve">02.08.2028 — Hochrisiko Anhang I Abschnitt A (Planungsannahme)</t>
  </si>
  <si>
    <t xml:space="preserve">02.08.2027 — Frist der Kommission für delegierte Rechtsakte nach Art. 2 Abs. 13 n. F.</t>
  </si>
  <si>
    <t xml:space="preserve">Können den Pflichtenumfang für Anhang-I-Systeme noch verändern</t>
  </si>
  <si>
    <t xml:space="preserve">Die Kennzahlen berechnen sich automatisch aus den Blättern 01, 03, 04 und 05. Im Auslieferungszustand stehen alle Werte auf 0 — das ist beabsichtigt. Keine dieser Zahlen ist eine Freigabeentscheidung: Sie zeigen den Bearbeitungsstand, nicht die Rechtmäßigkeit eines Systems.</t>
  </si>
  <si>
    <t xml:space="preserve">07 — Quellen und Fundstellen</t>
  </si>
  <si>
    <t xml:space="preserve">Stand 29.07.2026. Alle Quellen zuletzt abgerufen am 29.07.2026.</t>
  </si>
  <si>
    <t xml:space="preserve">Gegenstand</t>
  </si>
  <si>
    <t xml:space="preserve">Quelle / Link</t>
  </si>
  <si>
    <t xml:space="preserve">Anmerkung</t>
  </si>
  <si>
    <t xml:space="preserve">Zuletzt geprüft</t>
  </si>
  <si>
    <t xml:space="preserve">KI-Verordnung (Grundverordnung)</t>
  </si>
  <si>
    <t xml:space="preserve">VO (EU) 2024/1689, ABl. L, 2024/1689, 12.7.2024</t>
  </si>
  <si>
    <t xml:space="preserve">https://eur-lex.europa.eu/eli/reg/2024/1689/oj/deu</t>
  </si>
  <si>
    <t xml:space="preserve">CELEX 32024R1689</t>
  </si>
  <si>
    <t xml:space="preserve">29.07.2026</t>
  </si>
  <si>
    <t xml:space="preserve">bestätigt gegen amtlichen Text</t>
  </si>
  <si>
    <t xml:space="preserve">Digital-Omnibus-Verordnung zur KI</t>
  </si>
  <si>
    <t xml:space="preserve">VO (EU) 2026/1744 vom 8.7.2026, ABl. 24.7.2026</t>
  </si>
  <si>
    <t xml:space="preserve">https://eur-lex.europa.eu/eli/reg/2026/1744/oj/deu</t>
  </si>
  <si>
    <t xml:space="preserve">CELEX 32026R1744; in Kraft seit 27.07.2026; ändert VO 2024/1689, 2018/1139 und 2023/1230</t>
  </si>
  <si>
    <t xml:space="preserve">Kommissionsvorschlag</t>
  </si>
  <si>
    <t xml:space="preserve">COM(2025) 836 final, Verfahren 2025/0359(COD)</t>
  </si>
  <si>
    <t xml:space="preserve">https://eur-lex.europa.eu/legal-content/DE/TXT/?uri=CELEX:52025PC0836</t>
  </si>
  <si>
    <t xml:space="preserve">Vergleichsgrundlage: mehrere Vorschläge wurden nicht übernommen</t>
  </si>
  <si>
    <t xml:space="preserve">KMU-Definition</t>
  </si>
  <si>
    <t xml:space="preserve">Empfehlung 2003/361/EG, Art. 2 des Anhangs</t>
  </si>
  <si>
    <t xml:space="preserve">https://eur-lex.europa.eu/legal-content/DE/TXT/?uri=CELEX:32003H0361</t>
  </si>
  <si>
    <t xml:space="preserve">Referenz in Art. 3 Nr. 14a KI-VO n. F.</t>
  </si>
  <si>
    <t xml:space="preserve">Definition kleines Midcap-Unternehmen</t>
  </si>
  <si>
    <t xml:space="preserve">Empfehlung (EU) 2025/1099, Nr. 2 des Anhangs</t>
  </si>
  <si>
    <t xml:space="preserve">https://eur-lex.europa.eu/legal-content/DE/TXT/PDF/?uri=OJ:L_202501099</t>
  </si>
  <si>
    <t xml:space="preserve">&lt; 750 Beschäftigte; Umsatz ≤ 150 Mio. EUR oder Bilanzsumme ≤ 129 Mio. EUR</t>
  </si>
  <si>
    <t xml:space="preserve">Bekämpfung sexuellen Kindesmissbrauchs</t>
  </si>
  <si>
    <t xml:space="preserve">RL 2011/93/EU, Art. 2 lit. c und e</t>
  </si>
  <si>
    <t xml:space="preserve">https://eur-lex.europa.eu/legal-content/DE/TXT/?uri=CELEX:32011L0093</t>
  </si>
  <si>
    <t xml:space="preserve">Referenz in Art. 5 Abs. 1 lit. bb KI-VO n. F.</t>
  </si>
  <si>
    <t xml:space="preserve">Rat der EU — endgültige Zustimmung</t>
  </si>
  <si>
    <t xml:space="preserve">Pressemitteilung vom 29.06.2026</t>
  </si>
  <si>
    <t xml:space="preserve">https://www.consilium.europa.eu/en/press/press-releases/2026/06/29/artificial-intelligence-council-gives-final-green-light-to-simplify-and-streamline-rules/</t>
  </si>
  <si>
    <t xml:space="preserve">Sekundärquelle — Verfahrensgang, nicht rechtsverbindlich</t>
  </si>
  <si>
    <t xml:space="preserve">Europäisches Parlament — Verfahrensgang</t>
  </si>
  <si>
    <t xml:space="preserve">Legislative Train Schedule</t>
  </si>
  <si>
    <t xml:space="preserve">https://www.europarl.europa.eu/legislative-train/package-digital-package/file-digital-omnibus-on-ai</t>
  </si>
  <si>
    <t xml:space="preserve">Trilog 07.05.2026; Plenum 16.06.2026 (423:57:174)</t>
  </si>
  <si>
    <t xml:space="preserve">AI Act Explorer (vom Auftraggeber benannt)</t>
  </si>
  <si>
    <t xml:space="preserve">artificialintelligenceact.eu</t>
  </si>
  <si>
    <t xml:space="preserve">https://artificialintelligenceact.eu/de/</t>
  </si>
  <si>
    <t xml:space="preserve">Deutsche Seiten laut Eigenhinweis maschinell übersetzt; Timeline zum Abrufzeitpunkt Stand 01.08.2024 — Digital Omnibus nicht abgebildet</t>
  </si>
  <si>
    <t xml:space="preserve">nur Navigation — nicht als Beleg verwendet</t>
  </si>
  <si>
    <t xml:space="preserve">Gesetzestext DE (vom Auftraggeber benannt)</t>
  </si>
  <si>
    <t xml:space="preserve">ai-act-law.eu</t>
  </si>
  <si>
    <t xml:space="preserve">https://ai-act-law.eu/de/</t>
  </si>
  <si>
    <t xml:space="preserve">Amtlicher deutscher Wortlaut der KI-VO, Textstand 04/2024 — Digital Omnibus nicht eingearbeitet</t>
  </si>
  <si>
    <t xml:space="preserve">Ursprungsfassung bestätigt; Digital Omnibus NICHT abgebildet</t>
  </si>
  <si>
    <t xml:space="preserve">Ausdrücklich nicht verifiziert</t>
  </si>
  <si>
    <t xml:space="preserve">• Deutsche Durchführungsgesetzgebung: Benennung der Marktüberwachungsbehörden und nationales Sanktionsrecht nach Art. 99 Abs. 1.</t>
  </si>
  <si>
    <t xml:space="preserve">• Veröffentlichungsstand der Kommissionsleitlinien nach Art. 6 Abs. 5 (Einstufung Hochrisiko).</t>
  </si>
  <si>
    <t xml:space="preserve">• Veröffentlichungsstand des Musters für die Trainingsdaten-Zusammenfassung (Art. 53 Abs. 1 lit. d) und des Muster-Fragebogens für die Grundrechte-Folgenabschätzung (Art. 27 Abs. 5).</t>
  </si>
  <si>
    <t xml:space="preserve">• Ob zur Sprachfassungsdivergenz in Art. 26 Abs. 8 (DE: nur Unionsstellen; EN: zusätzlich „public authorities“) ein Corrigendum ergangen ist.</t>
  </si>
  <si>
    <t xml:space="preserve">• Stand der delegierten Rechtsakte nach Art. 2 Abs. 13 KI-VO n. F. (Frist: 02.08.2027).</t>
  </si>
  <si>
    <t xml:space="preserve">09 — Ausgefülltes Beispiel</t>
  </si>
  <si>
    <t xml:space="preserve">Ein durchgerechneter Musterfall zum Nachvollziehen. Dieses Blatt enthält nur Text, keine Formeln, und fließt NICHT in das Dashboard ein. Die produktiven Blätter 01 bis 05 starten bewusst leer.</t>
  </si>
  <si>
    <t xml:space="preserve">Der Musterfall</t>
  </si>
  <si>
    <t xml:space="preserve">Ausgangslage</t>
  </si>
  <si>
    <t xml:space="preserve">Eine Muster GmbH plant ein zugekauftes Werkzeug zur Vorsortierung eingehender Bewerbungen. Das Werkzeug bewertet Lebensläufe und erstellt eine Rangfolge. Die Personalabteilung entscheidet anschließend selbst, wen sie einlädt.</t>
  </si>
  <si>
    <t xml:space="preserve">So sähen die Blätter aus</t>
  </si>
  <si>
    <t xml:space="preserve">System-ID KI-001 · Bezeichnung „Bewerber-Vorauswahl“ · Anbieter/Hersteller „Muster Software GmbH“ · Zweck „Sichtung und Vorsortierung eingehender Bewerbungen“ · Fachbereich „Personal“ · Datenarten „Bewerbungsunterlagen, Lebenslaufdaten“ · Personenbezug „ja – sonstige Betroffene“ · Einsatzstatus „geplant“ · Verantwortlich „Leitung Personal“ · Vertrag „Rahmenvertrag 2026-014“</t>
  </si>
  <si>
    <t xml:space="preserve">Entwickeln/eigener Name: Nein · Verwenden in eigener Verantwortung: Ja · Eigenlabeling: Nein · Wesentliche Veränderung: Nein · Zweckänderung ins Hochrisiko: Nein · Produkthersteller: Nein → Ergebnis: BETREIBER. Geprüft am: festes Datum eintragen, geprüft von: Name.</t>
  </si>
  <si>
    <t xml:space="preserve">02_Rollen-Check — Variante</t>
  </si>
  <si>
    <t xml:space="preserve">Würde dasselbe Unternehmen ein allgemeines Sprachmodell selbst zu einem Vorauswahl-Werkzeug ausbauen, wäre „Zweckänderung ins Hochrisiko“ = Ja → Ergebnis: ANBIETER, mit den vollen Pflichten nach Art. 16. Das ist der häufigste unbemerkte Rollenwechsel (Art. 25 Abs. 1 lit. c).</t>
  </si>
  <si>
    <t xml:space="preserve">Verbotene Praktik Art. 5: Nein · Anhang I: Nein · Anhang I Abschnitt: „entfällt — kein Anhang-I-Produkt“ · Anhang III: „4 Beschäftigung“ · Profiling: Ja · Ausnahmefilter Art. 6 Abs. 3: Nein · Art.-50-Fall: keiner → Ergebnis der ersten Einordnung: HOCHRISIKO ANHANG III. Anwendbar ab: 02.12.2027 (Planungsannahme). Registrierung: Ja, Art. 49 Abs. 1 durch den Anbieter.</t>
  </si>
  <si>
    <t xml:space="preserve">Warum kein Ausnahmefilter?</t>
  </si>
  <si>
    <t xml:space="preserve">Das Werkzeug nimmt Profiling natürlicher Personen vor. Nach Art. 6 Abs. 3 UAbs. 3 ist der Ausnahmefilter dann ausgeschlossen — unabhängig davon, ob ein Mensch am Ende entscheidet. Der häufigste Einstufungsfehler ist, aus „ein Mensch entscheidet“ auf „kein Hochrisiko“ zu schließen.</t>
  </si>
  <si>
    <t xml:space="preserve">Spalten O bis T</t>
  </si>
  <si>
    <t xml:space="preserve">Juristisch bestätigt: „offen“ → Status der Einstufung: „Arbeitsannahme — nicht bestätigt“. Erst wenn eine Rechtsprüfung stattgefunden hat, wird hier „Ja“ gesetzt und der Status springt auf „Einstufung bestätigt“. Geprüft am / Geprüft von / Prüfgrundlage sind manuelle Felder — bewusst ohne HEUTE()-Formel, damit ein abgeschlossener Prüfeintrag unverändert bleibt.</t>
  </si>
  <si>
    <t xml:space="preserve">Für einen Betreiber eines Anhang-III-Hochrisiko-Systems sind mindestens relevant: D.1–D.3 (KI-Kompetenz), D.22–D.27 (Organisation), D.31/D.32 (Art. 4a, falls Bias-Prüfung mit sensiblen Daten), A.1–A.13 (Betreiberpflichten), A.12 (Information Betroffener), A.14 (Recht auf Erläuterung) sowie C.1–C.5 (Rollenwechsel im Blick behalten). Relevanz „Ja“ setzen, Status pflegen.</t>
  </si>
  <si>
    <t xml:space="preserve">Betrifft KI-001 · Bezug A.9 · Lücke „Beschäftigte und Arbeitnehmervertretung noch nicht informiert“ · Maßnahme „Informationsschreiben erstellen, mit Betriebsrat abstimmen, vor Inbetriebnahme versenden“ · Verantwortlich „Leitung Personal“ · Fällig bis: konkretes Datum · Fortschritt 25 % · Priorität hoch.</t>
  </si>
  <si>
    <t xml:space="preserve">Ein zweiter Fall: Anhang I Abschnitt B</t>
  </si>
  <si>
    <t xml:space="preserve">Maschine mit KI-Schutzabschaltung</t>
  </si>
  <si>
    <t xml:space="preserve">Ein Maschinenbauer verbaut eine KI, die eine Schutzabschaltung auslöst. Auf Blatt 03: Anhang I = Ja, Abschnitt = „Abschnitt B“ (Maschinenverordnung (EU) 2023/1230 steht seit Juli 2026 dort), konkreter Rechtsakt = „VO (EU) 2023/1230 (Maschinen)“. → Ergebnis: „Hochrisiko Anhang I Abschnitt B (Sektorrecht)“. Kapitel III gilt nicht; es gelten nur Art. 6 Abs. 1, Art. 60a und Art. 102–112 (Art. 2 Abs. 2 n. F.). Die Anforderungen laufen über Anhang III der Maschinenverordnung — delegierter Rechtsakt mit Geltung ab 02.08.2028.</t>
  </si>
  <si>
    <t xml:space="preserve">Gegenprobe</t>
  </si>
  <si>
    <t xml:space="preserve">Eine KI, die dieselbe Fertigungslinie nur effizienter macht, ist nach Art. 6 Abs. 1a n. F. KEIN Sicherheitsbauteil — dann ist auf Blatt 03 „Anhang I“ = Nein zu setzen.</t>
  </si>
  <si>
    <t xml:space="preserve">Auswahllisten (technische Basis)</t>
  </si>
  <si>
    <t xml:space="preserve">Diese Liste speist die Dropdown-Felder der anderen Blätter. Änderungen wirken sich dort aus.</t>
  </si>
  <si>
    <t xml:space="preserve">Ja/Nein</t>
  </si>
  <si>
    <t xml:space="preserve">Rolle</t>
  </si>
  <si>
    <t xml:space="preserve">Risikoklasse</t>
  </si>
  <si>
    <t xml:space="preserve">Anhang III Bereich</t>
  </si>
  <si>
    <t xml:space="preserve">Art. 50 Fall</t>
  </si>
  <si>
    <t xml:space="preserve">Relevanz</t>
  </si>
  <si>
    <t xml:space="preserve">Anhang I Abschnitt</t>
  </si>
  <si>
    <t xml:space="preserve">Bestätigung</t>
  </si>
  <si>
    <t xml:space="preserve">Ja</t>
  </si>
  <si>
    <t xml:space="preserve">offen</t>
  </si>
  <si>
    <t xml:space="preserve">keiner</t>
  </si>
  <si>
    <t xml:space="preserve">hoch</t>
  </si>
  <si>
    <t xml:space="preserve">KMU / Start-up</t>
  </si>
  <si>
    <t xml:space="preserve">ja – Beschäftigte</t>
  </si>
  <si>
    <t xml:space="preserve">entfällt — kein Anhang-I-Produkt</t>
  </si>
  <si>
    <t xml:space="preserve">Nein</t>
  </si>
  <si>
    <t xml:space="preserve">in Arbeit</t>
  </si>
  <si>
    <t xml:space="preserve">1 Biometrie</t>
  </si>
  <si>
    <t xml:space="preserve">Abs. 1 – direkte Interaktion (Anbieter)</t>
  </si>
  <si>
    <t xml:space="preserve">mittel</t>
  </si>
  <si>
    <t xml:space="preserve">kleines Midcap-Unternehmen</t>
  </si>
  <si>
    <t xml:space="preserve">ja – Kunden</t>
  </si>
  <si>
    <t xml:space="preserve">Prüfung offen</t>
  </si>
  <si>
    <t xml:space="preserve">erfüllt</t>
  </si>
  <si>
    <t xml:space="preserve">2 Kritische Infrastruktur</t>
  </si>
  <si>
    <t xml:space="preserve">Abs. 2 – synthetische Inhalte (Anbieter)</t>
  </si>
  <si>
    <t xml:space="preserve">niedrig</t>
  </si>
  <si>
    <t xml:space="preserve">sonstiges Unternehmen</t>
  </si>
  <si>
    <t xml:space="preserve">ja – sonstige Betroffene</t>
  </si>
  <si>
    <t xml:space="preserve">noch offen</t>
  </si>
  <si>
    <t xml:space="preserve">nicht anwendbar</t>
  </si>
  <si>
    <t xml:space="preserve">Einführer</t>
  </si>
  <si>
    <t xml:space="preserve">Hochrisiko Anhang I und Anhang III</t>
  </si>
  <si>
    <t xml:space="preserve">3 Bildung</t>
  </si>
  <si>
    <t xml:space="preserve">Abs. 3 – Emotionserkennung/biometr. Kategorisierung (Betreiber)</t>
  </si>
  <si>
    <t xml:space="preserve">öffentliche Stelle</t>
  </si>
  <si>
    <t xml:space="preserve">nein</t>
  </si>
  <si>
    <t xml:space="preserve">Händler</t>
  </si>
  <si>
    <t xml:space="preserve">4 Beschäftigung</t>
  </si>
  <si>
    <t xml:space="preserve">Abs. 4 – Deepfake (Betreiber)</t>
  </si>
  <si>
    <t xml:space="preserve">unklar</t>
  </si>
  <si>
    <t xml:space="preserve">5 Grundlegende Dienste (u. a. Kreditwürdigkeit, Versicherung)</t>
  </si>
  <si>
    <t xml:space="preserve">Abs. 4 – KI-Text zu öffentlichem Interesse (Betreiber)</t>
  </si>
  <si>
    <t xml:space="preserve">GPAI (Art. 53)</t>
  </si>
  <si>
    <t xml:space="preserve">6 Strafverfolgung</t>
  </si>
  <si>
    <t xml:space="preserve">GPAI mit systemischem Risiko (Art. 55)</t>
  </si>
  <si>
    <t xml:space="preserve">7 Migration, Asyl, Grenzkontrolle</t>
  </si>
  <si>
    <t xml:space="preserve">8 Rechtspflege und demokratische Prozesse</t>
  </si>
</sst>
</file>

<file path=xl/styles.xml><?xml version="1.0" encoding="utf-8"?>
<styleSheet xmlns="http://schemas.openxmlformats.org/spreadsheetml/2006/main">
  <numFmts count="5">
    <numFmt numFmtId="164" formatCode="General"/>
    <numFmt numFmtId="165" formatCode="General"/>
    <numFmt numFmtId="166" formatCode="dd\.mm\.yyyy"/>
    <numFmt numFmtId="167" formatCode="0%"/>
    <numFmt numFmtId="168"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2E5496"/>
      <name val="Arial"/>
      <family val="0"/>
      <charset val="1"/>
    </font>
    <font>
      <b val="true"/>
      <sz val="9"/>
      <name val="Arial"/>
      <family val="0"/>
      <charset val="1"/>
    </font>
    <font>
      <sz val="9"/>
      <name val="Arial"/>
      <family val="0"/>
      <charset val="1"/>
    </font>
    <font>
      <sz val="8"/>
      <color rgb="FF595959"/>
      <name val="Arial"/>
      <family val="0"/>
      <charset val="1"/>
    </font>
    <font>
      <b val="true"/>
      <sz val="9"/>
      <color rgb="FFFFFFFF"/>
      <name val="Arial"/>
      <family val="0"/>
      <charset val="1"/>
    </font>
    <font>
      <sz val="10"/>
      <name val="Arial"/>
      <family val="2"/>
    </font>
    <font>
      <sz val="9"/>
      <color rgb="FF1F3864"/>
      <name val="Arial"/>
      <family val="0"/>
      <charset val="1"/>
    </font>
    <font>
      <b val="true"/>
      <sz val="11"/>
      <color rgb="FF1F3864"/>
      <name val="Arial"/>
      <family val="0"/>
      <charset val="1"/>
    </font>
    <font>
      <u val="single"/>
      <sz val="9"/>
      <color rgb="FF0563C1"/>
      <name val="Arial"/>
      <family val="0"/>
      <charset val="1"/>
    </font>
  </fonts>
  <fills count="6">
    <fill>
      <patternFill patternType="none"/>
    </fill>
    <fill>
      <patternFill patternType="gray125"/>
    </fill>
    <fill>
      <patternFill patternType="solid">
        <fgColor rgb="FFDCE4F2"/>
        <bgColor rgb="FFE8E8E8"/>
      </patternFill>
    </fill>
    <fill>
      <patternFill patternType="solid">
        <fgColor rgb="FFFFF7DC"/>
        <bgColor rgb="FFEFEFEF"/>
      </patternFill>
    </fill>
    <fill>
      <patternFill patternType="solid">
        <fgColor rgb="FF2E5496"/>
        <bgColor rgb="FF1F3864"/>
      </patternFill>
    </fill>
    <fill>
      <patternFill patternType="solid">
        <fgColor rgb="FFEFEFEF"/>
        <bgColor rgb="FFE8E8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5" fontId="13"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8" fontId="13" fillId="5" borderId="1" xfId="0" applyFont="true" applyBorder="true" applyAlignment="true" applyProtection="false">
      <alignment horizontal="center" vertical="center" textRotation="0" wrapText="true" indent="0" shrinkToFit="false"/>
      <protection locked="true" hidden="false"/>
    </xf>
    <xf numFmtId="166" fontId="13"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sz val="9"/>
      </font>
      <fill>
        <patternFill>
          <bgColor rgb="FFFFC7CE"/>
        </patternFill>
      </fill>
    </dxf>
    <dxf>
      <font>
        <name val="Arial"/>
        <charset val="1"/>
        <family val="0"/>
        <b val="1"/>
        <color rgb="FF9C0006"/>
        <sz val="9"/>
      </font>
      <fill>
        <patternFill>
          <bgColor rgb="FFFFC7CE"/>
        </patternFill>
      </fill>
    </dxf>
    <dxf>
      <fill>
        <patternFill>
          <bgColor rgb="FFE8E8E8"/>
        </patternFill>
      </fill>
    </dxf>
    <dxf>
      <fill>
        <patternFill>
          <bgColor rgb="FFFFEB9C"/>
        </patternFill>
      </fill>
    </dxf>
    <dxf>
      <font>
        <name val="Arial"/>
        <charset val="1"/>
        <family val="0"/>
        <b val="1"/>
        <sz val="9"/>
      </font>
      <fill>
        <patternFill>
          <bgColor rgb="FFFFEB9C"/>
        </patternFill>
      </fill>
    </dxf>
    <dxf>
      <fill>
        <patternFill>
          <bgColor rgb="FFC6EFCE"/>
        </patternFill>
      </fill>
    </dxf>
    <dxf>
      <fill>
        <patternFill patternType="solid">
          <fgColor rgb="FF2E5496"/>
          <bgColor rgb="FF000000"/>
        </patternFill>
      </fill>
    </dxf>
    <dxf>
      <fill>
        <patternFill patternType="solid">
          <fgColor rgb="FFEFEFEF"/>
          <bgColor rgb="FF000000"/>
        </patternFill>
      </fill>
    </dxf>
    <dxf>
      <fill>
        <patternFill patternType="solid">
          <fgColor rgb="FFFFFFFF"/>
          <bgColor rgb="FF000000"/>
        </patternFill>
      </fill>
    </dxf>
    <dxf>
      <fill>
        <patternFill patternType="solid">
          <bgColor rgb="FF000000"/>
        </patternFill>
      </fill>
    </dxf>
    <dxf>
      <fill>
        <patternFill patternType="solid">
          <fgColor rgb="FFFFF7DC"/>
          <bgColor rgb="FF000000"/>
        </patternFill>
      </fill>
    </dxf>
    <dxf>
      <fill>
        <patternFill patternType="solid">
          <fgColor rgb="FFFFC7CE"/>
          <bgColor rgb="FF000000"/>
        </patternFill>
      </fill>
    </dxf>
    <dxf>
      <fill>
        <patternFill patternType="solid">
          <fgColor rgb="FF1F3864"/>
          <bgColor rgb="FF000000"/>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7DC"/>
      <rgbColor rgb="FFEFEFEF"/>
      <rgbColor rgb="FF660066"/>
      <rgbColor rgb="FFFF8080"/>
      <rgbColor rgb="FF0563C1"/>
      <rgbColor rgb="FFDCE4F2"/>
      <rgbColor rgb="FF000080"/>
      <rgbColor rgb="FFFF00FF"/>
      <rgbColor rgb="FFFFFF00"/>
      <rgbColor rgb="FF00FFFF"/>
      <rgbColor rgb="FF800080"/>
      <rgbColor rgb="FF800000"/>
      <rgbColor rgb="FF008080"/>
      <rgbColor rgb="FF0000FF"/>
      <rgbColor rgb="FF00CCFF"/>
      <rgbColor rgb="FFE8E8E8"/>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hyperlink" Target="https://eur-lex.europa.eu/eli/reg/2024/1689/oj/deu" TargetMode="External"/><Relationship Id="rId2" Type="http://schemas.openxmlformats.org/officeDocument/2006/relationships/hyperlink" Target="https://eur-lex.europa.eu/eli/reg/2026/1744/oj/deu" TargetMode="External"/><Relationship Id="rId3" Type="http://schemas.openxmlformats.org/officeDocument/2006/relationships/hyperlink" Target="https://eur-lex.europa.eu/legal-content/DE/TXT/?uri=CELEX:52025PC0836" TargetMode="External"/><Relationship Id="rId4" Type="http://schemas.openxmlformats.org/officeDocument/2006/relationships/hyperlink" Target="https://eur-lex.europa.eu/legal-content/DE/TXT/?uri=CELEX:32003H0361" TargetMode="External"/><Relationship Id="rId5" Type="http://schemas.openxmlformats.org/officeDocument/2006/relationships/hyperlink" Target="https://eur-lex.europa.eu/legal-content/DE/TXT/PDF/?uri=OJ:L_202501099" TargetMode="External"/><Relationship Id="rId6" Type="http://schemas.openxmlformats.org/officeDocument/2006/relationships/hyperlink" Target="https://eur-lex.europa.eu/legal-content/DE/TXT/?uri=CELEX:32011L0093" TargetMode="External"/><Relationship Id="rId7" Type="http://schemas.openxmlformats.org/officeDocument/2006/relationships/hyperlink" Target="https://www.consilium.europa.eu/en/press/press-releases/2026/06/29/artificial-intelligence-council-gives-final-green-light-to-simplify-and-streamline-rules/" TargetMode="External"/><Relationship Id="rId8" Type="http://schemas.openxmlformats.org/officeDocument/2006/relationships/hyperlink" Target="https://www.europarl.europa.eu/legislative-train/package-digital-package/file-digital-omnibus-on-ai" TargetMode="External"/><Relationship Id="rId9" Type="http://schemas.openxmlformats.org/officeDocument/2006/relationships/hyperlink" Target="https://artificialintelligenceact.eu/de/" TargetMode="External"/><Relationship Id="rId10" Type="http://schemas.openxmlformats.org/officeDocument/2006/relationships/hyperlink" Target="https://ai-act-law.eu/d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105"/>
  </cols>
  <sheetData>
    <row r="1" customFormat="false" ht="24" hidden="false" customHeight="true" outlineLevel="0" collapsed="false">
      <c r="A1" s="1" t="s">
        <v>0</v>
      </c>
      <c r="B1" s="1"/>
      <c r="C1" s="1"/>
    </row>
    <row r="2" customFormat="false" ht="15" hidden="false" customHeight="false" outlineLevel="0" collapsed="false">
      <c r="A2" s="2" t="s">
        <v>1</v>
      </c>
      <c r="B2" s="2"/>
      <c r="C2" s="2"/>
    </row>
    <row r="5" customFormat="false" ht="15" hidden="false" customHeight="false" outlineLevel="0" collapsed="false">
      <c r="B5" s="3" t="s">
        <v>2</v>
      </c>
      <c r="C5" s="3"/>
    </row>
    <row r="6" customFormat="false" ht="64.5" hidden="false" customHeight="true" outlineLevel="0" collapsed="false">
      <c r="B6" s="4" t="s">
        <v>3</v>
      </c>
      <c r="C6" s="5" t="s">
        <v>4</v>
      </c>
    </row>
    <row r="7" customFormat="false" ht="90.75" hidden="false" customHeight="true" outlineLevel="0" collapsed="false">
      <c r="B7" s="4" t="s">
        <v>5</v>
      </c>
      <c r="C7" s="5" t="s">
        <v>6</v>
      </c>
    </row>
    <row r="8" customFormat="false" ht="51.75" hidden="false" customHeight="true" outlineLevel="0" collapsed="false">
      <c r="B8" s="4" t="s">
        <v>7</v>
      </c>
      <c r="C8" s="5" t="s">
        <v>8</v>
      </c>
    </row>
    <row r="9" customFormat="false" ht="39" hidden="false" customHeight="true" outlineLevel="0" collapsed="false">
      <c r="B9" s="4" t="s">
        <v>9</v>
      </c>
      <c r="C9" s="5" t="s">
        <v>10</v>
      </c>
    </row>
    <row r="11" customFormat="false" ht="15" hidden="false" customHeight="false" outlineLevel="0" collapsed="false">
      <c r="B11" s="3" t="s">
        <v>11</v>
      </c>
      <c r="C11" s="3"/>
    </row>
    <row r="12" customFormat="false" ht="51.75" hidden="false" customHeight="true" outlineLevel="0" collapsed="false">
      <c r="B12" s="4" t="s">
        <v>12</v>
      </c>
      <c r="C12" s="5" t="s">
        <v>13</v>
      </c>
    </row>
    <row r="13" customFormat="false" ht="51.75" hidden="false" customHeight="true" outlineLevel="0" collapsed="false">
      <c r="B13" s="4" t="s">
        <v>14</v>
      </c>
      <c r="C13" s="5" t="s">
        <v>15</v>
      </c>
    </row>
    <row r="14" customFormat="false" ht="39" hidden="false" customHeight="true" outlineLevel="0" collapsed="false">
      <c r="B14" s="4" t="s">
        <v>16</v>
      </c>
      <c r="C14" s="5" t="s">
        <v>17</v>
      </c>
    </row>
    <row r="15" customFormat="false" ht="27.75" hidden="false" customHeight="true" outlineLevel="0" collapsed="false">
      <c r="B15" s="4" t="s">
        <v>18</v>
      </c>
      <c r="C15" s="5" t="s">
        <v>19</v>
      </c>
    </row>
    <row r="17" customFormat="false" ht="15" hidden="false" customHeight="false" outlineLevel="0" collapsed="false">
      <c r="B17" s="3" t="s">
        <v>20</v>
      </c>
      <c r="C17" s="3"/>
    </row>
    <row r="18" customFormat="false" ht="27.75" hidden="false" customHeight="true" outlineLevel="0" collapsed="false">
      <c r="B18" s="4" t="s">
        <v>21</v>
      </c>
      <c r="C18" s="5" t="s">
        <v>22</v>
      </c>
    </row>
    <row r="19" customFormat="false" ht="27.75" hidden="false" customHeight="true" outlineLevel="0" collapsed="false">
      <c r="B19" s="4" t="s">
        <v>23</v>
      </c>
      <c r="C19" s="5" t="s">
        <v>24</v>
      </c>
    </row>
    <row r="20" customFormat="false" ht="39" hidden="false" customHeight="true" outlineLevel="0" collapsed="false">
      <c r="B20" s="4" t="s">
        <v>25</v>
      </c>
      <c r="C20" s="5" t="s">
        <v>26</v>
      </c>
    </row>
    <row r="21" customFormat="false" ht="27.75" hidden="false" customHeight="true" outlineLevel="0" collapsed="false">
      <c r="B21" s="4" t="s">
        <v>27</v>
      </c>
      <c r="C21" s="5" t="s">
        <v>28</v>
      </c>
    </row>
    <row r="22" customFormat="false" ht="27.75" hidden="false" customHeight="true" outlineLevel="0" collapsed="false">
      <c r="B22" s="4" t="s">
        <v>29</v>
      </c>
      <c r="C22" s="5" t="s">
        <v>30</v>
      </c>
    </row>
    <row r="23" customFormat="false" ht="27.75" hidden="false" customHeight="true" outlineLevel="0" collapsed="false">
      <c r="B23" s="4" t="s">
        <v>31</v>
      </c>
      <c r="C23" s="5" t="s">
        <v>32</v>
      </c>
    </row>
    <row r="24" customFormat="false" ht="27.75" hidden="false" customHeight="true" outlineLevel="0" collapsed="false">
      <c r="B24" s="4" t="s">
        <v>33</v>
      </c>
      <c r="C24" s="5" t="s">
        <v>34</v>
      </c>
    </row>
    <row r="25" customFormat="false" ht="27.75" hidden="false" customHeight="true" outlineLevel="0" collapsed="false">
      <c r="B25" s="4" t="s">
        <v>35</v>
      </c>
      <c r="C25" s="5" t="s">
        <v>36</v>
      </c>
    </row>
    <row r="26" customFormat="false" ht="27.75" hidden="false" customHeight="true" outlineLevel="0" collapsed="false">
      <c r="B26" s="4" t="s">
        <v>37</v>
      </c>
      <c r="C26" s="5" t="s">
        <v>38</v>
      </c>
    </row>
    <row r="28" customFormat="false" ht="15" hidden="false" customHeight="false" outlineLevel="0" collapsed="false">
      <c r="B28" s="3" t="s">
        <v>39</v>
      </c>
      <c r="C28" s="3"/>
    </row>
    <row r="29" customFormat="false" ht="51.75" hidden="false" customHeight="true" outlineLevel="0" collapsed="false">
      <c r="B29" s="4" t="s">
        <v>40</v>
      </c>
      <c r="C29" s="5" t="s">
        <v>41</v>
      </c>
    </row>
    <row r="30" customFormat="false" ht="39" hidden="false" customHeight="true" outlineLevel="0" collapsed="false">
      <c r="B30" s="4" t="s">
        <v>42</v>
      </c>
      <c r="C30" s="5" t="s">
        <v>43</v>
      </c>
    </row>
    <row r="31" customFormat="false" ht="51.75" hidden="false" customHeight="true" outlineLevel="0" collapsed="false">
      <c r="B31" s="4" t="s">
        <v>44</v>
      </c>
      <c r="C31" s="5" t="s">
        <v>45</v>
      </c>
    </row>
    <row r="33" customFormat="false" ht="15" hidden="false" customHeight="false" outlineLevel="0" collapsed="false">
      <c r="B33" s="3" t="s">
        <v>46</v>
      </c>
      <c r="C33" s="3"/>
    </row>
    <row r="34" customFormat="false" ht="27.75" hidden="false" customHeight="true" outlineLevel="0" collapsed="false">
      <c r="B34" s="4" t="s">
        <v>47</v>
      </c>
      <c r="C34" s="5" t="s">
        <v>48</v>
      </c>
    </row>
    <row r="35" customFormat="false" ht="27.75" hidden="false" customHeight="true" outlineLevel="0" collapsed="false">
      <c r="B35" s="4" t="s">
        <v>49</v>
      </c>
      <c r="C35" s="5" t="s">
        <v>50</v>
      </c>
    </row>
    <row r="36" customFormat="false" ht="27.75" hidden="false" customHeight="true" outlineLevel="0" collapsed="false">
      <c r="B36" s="4" t="s">
        <v>51</v>
      </c>
      <c r="C36" s="5" t="s">
        <v>52</v>
      </c>
    </row>
    <row r="37" customFormat="false" ht="27.75" hidden="false" customHeight="true" outlineLevel="0" collapsed="false">
      <c r="B37" s="4" t="s">
        <v>53</v>
      </c>
      <c r="C37" s="5" t="s">
        <v>54</v>
      </c>
    </row>
    <row r="38" customFormat="false" ht="27.75" hidden="false" customHeight="true" outlineLevel="0" collapsed="false">
      <c r="B38" s="4" t="s">
        <v>55</v>
      </c>
      <c r="C38" s="5" t="s">
        <v>56</v>
      </c>
    </row>
    <row r="39" customFormat="false" ht="39" hidden="false" customHeight="true" outlineLevel="0" collapsed="false">
      <c r="B39" s="4" t="s">
        <v>57</v>
      </c>
      <c r="C39" s="5" t="s">
        <v>58</v>
      </c>
    </row>
    <row r="40" customFormat="false" ht="27.75" hidden="false" customHeight="true" outlineLevel="0" collapsed="false">
      <c r="B40" s="4" t="s">
        <v>59</v>
      </c>
      <c r="C40" s="5" t="s">
        <v>60</v>
      </c>
    </row>
    <row r="41" customFormat="false" ht="27.75" hidden="false" customHeight="true" outlineLevel="0" collapsed="false">
      <c r="B41" s="4" t="s">
        <v>61</v>
      </c>
      <c r="C41" s="5" t="s">
        <v>62</v>
      </c>
    </row>
    <row r="42" customFormat="false" ht="39" hidden="false" customHeight="true" outlineLevel="0" collapsed="false">
      <c r="B42" s="4" t="s">
        <v>63</v>
      </c>
      <c r="C42" s="5" t="s">
        <v>64</v>
      </c>
    </row>
    <row r="44" customFormat="false" ht="15" hidden="false" customHeight="false" outlineLevel="0" collapsed="false">
      <c r="B44" s="6" t="s">
        <v>65</v>
      </c>
    </row>
    <row r="45" customFormat="false" ht="24" hidden="false" customHeight="true" outlineLevel="0" collapsed="false">
      <c r="B45" s="4" t="s">
        <v>66</v>
      </c>
      <c r="C45" s="7"/>
    </row>
    <row r="46" customFormat="false" ht="36" hidden="false" customHeight="true" outlineLevel="0" collapsed="false">
      <c r="C46" s="8" t="s">
        <v>67</v>
      </c>
    </row>
    <row r="47" customFormat="false" ht="24" hidden="false" customHeight="true" outlineLevel="0" collapsed="false">
      <c r="B47" s="4" t="s">
        <v>68</v>
      </c>
      <c r="C47" s="7"/>
    </row>
    <row r="48" customFormat="false" ht="24" hidden="false" customHeight="true" outlineLevel="0" collapsed="false">
      <c r="C48" s="8" t="s">
        <v>69</v>
      </c>
    </row>
    <row r="49" customFormat="false" ht="24" hidden="false" customHeight="true" outlineLevel="0" collapsed="false">
      <c r="B49" s="4" t="s">
        <v>70</v>
      </c>
      <c r="C49" s="7"/>
    </row>
    <row r="50" customFormat="false" ht="24" hidden="false" customHeight="true" outlineLevel="0" collapsed="false">
      <c r="C50" s="8" t="s">
        <v>71</v>
      </c>
    </row>
  </sheetData>
  <mergeCells count="7">
    <mergeCell ref="A1:C1"/>
    <mergeCell ref="A2:C2"/>
    <mergeCell ref="B5:C5"/>
    <mergeCell ref="B11:C11"/>
    <mergeCell ref="B17:C17"/>
    <mergeCell ref="B28:C28"/>
    <mergeCell ref="B33:C33"/>
  </mergeCells>
  <dataValidations count="3">
    <dataValidation allowBlank="true" error="Bitte einen Wert aus der Liste wählen. Freitext führt zu falschen Einstufungen." errorStyle="stop" errorTitle="Ungültige Eingabe" operator="between" showDropDown="false" showErrorMessage="true" showInputMessage="false" sqref="C45" type="list">
      <formula1>'08_Register'!$H$5:$H$8</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C47"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C49" type="list">
      <formula1>'08_Register'!$A$5:$A$7</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2"/>
    <col collapsed="false" customWidth="true" hidden="false" outlineLevel="0" max="4" min="4" style="0" width="40"/>
    <col collapsed="false" customWidth="true" hidden="false" outlineLevel="0" max="5" min="5" style="0" width="16"/>
    <col collapsed="false" customWidth="true" hidden="false" outlineLevel="0" max="6" min="6" style="0" width="26"/>
    <col collapsed="false" customWidth="true" hidden="false" outlineLevel="0" max="7" min="7" style="0" width="20"/>
    <col collapsed="false" customWidth="true" hidden="false" outlineLevel="0" max="8" min="8" style="0" width="16"/>
    <col collapsed="false" customWidth="true" hidden="false" outlineLevel="0" max="9" min="9" style="0" width="20"/>
    <col collapsed="false" customWidth="true" hidden="false" outlineLevel="0" max="10" min="10" style="0" width="24"/>
    <col collapsed="false" customWidth="true" hidden="false" outlineLevel="0" max="11" min="11" style="0" width="30"/>
  </cols>
  <sheetData>
    <row r="1" customFormat="false" ht="24" hidden="false" customHeight="true" outlineLevel="0" collapsed="false">
      <c r="A1" s="1" t="s">
        <v>72</v>
      </c>
      <c r="B1" s="1"/>
      <c r="C1" s="1"/>
      <c r="D1" s="1"/>
      <c r="E1" s="1"/>
      <c r="F1" s="1"/>
      <c r="G1" s="1"/>
      <c r="H1" s="1"/>
      <c r="I1" s="1"/>
      <c r="J1" s="1"/>
      <c r="K1" s="1"/>
    </row>
    <row r="2" customFormat="false" ht="15" hidden="false" customHeight="false" outlineLevel="0" collapsed="false">
      <c r="A2" s="2" t="s">
        <v>73</v>
      </c>
      <c r="B2" s="2"/>
      <c r="C2" s="2"/>
      <c r="D2" s="2"/>
      <c r="E2" s="2"/>
      <c r="F2" s="2"/>
      <c r="G2" s="2"/>
      <c r="H2" s="2"/>
      <c r="I2" s="2"/>
      <c r="J2" s="2"/>
      <c r="K2" s="2"/>
    </row>
    <row r="5" customFormat="false" ht="31.5" hidden="false" customHeight="true" outlineLevel="0" collapsed="false">
      <c r="A5" s="9" t="s">
        <v>74</v>
      </c>
      <c r="B5" s="9" t="s">
        <v>75</v>
      </c>
      <c r="C5" s="9" t="s">
        <v>76</v>
      </c>
      <c r="D5" s="9" t="s">
        <v>77</v>
      </c>
      <c r="E5" s="9" t="s">
        <v>78</v>
      </c>
      <c r="F5" s="9" t="s">
        <v>79</v>
      </c>
      <c r="G5" s="9" t="s">
        <v>80</v>
      </c>
      <c r="H5" s="9" t="s">
        <v>81</v>
      </c>
      <c r="I5" s="9" t="s">
        <v>82</v>
      </c>
      <c r="J5" s="9" t="s">
        <v>83</v>
      </c>
      <c r="K5" s="9" t="s">
        <v>84</v>
      </c>
    </row>
    <row r="6" customFormat="false" ht="25.5" hidden="false" customHeight="true" outlineLevel="0" collapsed="false">
      <c r="A6" s="10" t="str">
        <f aca="false">IF(B6="","","KI-"&amp;TEXT(ROW()-5,"000"))</f>
        <v/>
      </c>
      <c r="B6" s="10"/>
      <c r="C6" s="10"/>
      <c r="D6" s="10"/>
      <c r="E6" s="10"/>
      <c r="F6" s="10"/>
      <c r="G6" s="7"/>
      <c r="H6" s="7"/>
      <c r="I6" s="10"/>
      <c r="J6" s="10"/>
      <c r="K6" s="10"/>
    </row>
    <row r="7" customFormat="false" ht="25.5" hidden="false" customHeight="true" outlineLevel="0" collapsed="false">
      <c r="A7" s="10" t="str">
        <f aca="false">IF(B7="","","KI-"&amp;TEXT(ROW()-5,"000"))</f>
        <v/>
      </c>
      <c r="B7" s="10"/>
      <c r="C7" s="10"/>
      <c r="D7" s="10"/>
      <c r="E7" s="10"/>
      <c r="F7" s="10"/>
      <c r="G7" s="7"/>
      <c r="H7" s="7"/>
      <c r="I7" s="10"/>
      <c r="J7" s="10"/>
      <c r="K7" s="10"/>
    </row>
    <row r="8" customFormat="false" ht="25.5" hidden="false" customHeight="true" outlineLevel="0" collapsed="false">
      <c r="A8" s="10" t="str">
        <f aca="false">IF(B8="","","KI-"&amp;TEXT(ROW()-5,"000"))</f>
        <v/>
      </c>
      <c r="B8" s="10"/>
      <c r="C8" s="10"/>
      <c r="D8" s="10"/>
      <c r="E8" s="10"/>
      <c r="F8" s="10"/>
      <c r="G8" s="7"/>
      <c r="H8" s="7"/>
      <c r="I8" s="10"/>
      <c r="J8" s="10"/>
      <c r="K8" s="10"/>
    </row>
    <row r="9" customFormat="false" ht="25.5" hidden="false" customHeight="true" outlineLevel="0" collapsed="false">
      <c r="A9" s="10" t="str">
        <f aca="false">IF(B9="","","KI-"&amp;TEXT(ROW()-5,"000"))</f>
        <v/>
      </c>
      <c r="B9" s="10"/>
      <c r="C9" s="10"/>
      <c r="D9" s="10"/>
      <c r="E9" s="10"/>
      <c r="F9" s="10"/>
      <c r="G9" s="7"/>
      <c r="H9" s="7"/>
      <c r="I9" s="10"/>
      <c r="J9" s="10"/>
      <c r="K9" s="10"/>
    </row>
    <row r="10" customFormat="false" ht="25.5" hidden="false" customHeight="true" outlineLevel="0" collapsed="false">
      <c r="A10" s="10" t="str">
        <f aca="false">IF(B10="","","KI-"&amp;TEXT(ROW()-5,"000"))</f>
        <v/>
      </c>
      <c r="B10" s="10"/>
      <c r="C10" s="10"/>
      <c r="D10" s="10"/>
      <c r="E10" s="10"/>
      <c r="F10" s="10"/>
      <c r="G10" s="7"/>
      <c r="H10" s="7"/>
      <c r="I10" s="10"/>
      <c r="J10" s="10"/>
      <c r="K10" s="10"/>
    </row>
    <row r="11" customFormat="false" ht="25.5" hidden="false" customHeight="true" outlineLevel="0" collapsed="false">
      <c r="A11" s="10" t="str">
        <f aca="false">IF(B11="","","KI-"&amp;TEXT(ROW()-5,"000"))</f>
        <v/>
      </c>
      <c r="B11" s="10"/>
      <c r="C11" s="10"/>
      <c r="D11" s="10"/>
      <c r="E11" s="10"/>
      <c r="F11" s="10"/>
      <c r="G11" s="7"/>
      <c r="H11" s="7"/>
      <c r="I11" s="10"/>
      <c r="J11" s="10"/>
      <c r="K11" s="10"/>
    </row>
    <row r="12" customFormat="false" ht="25.5" hidden="false" customHeight="true" outlineLevel="0" collapsed="false">
      <c r="A12" s="10" t="str">
        <f aca="false">IF(B12="","","KI-"&amp;TEXT(ROW()-5,"000"))</f>
        <v/>
      </c>
      <c r="B12" s="10"/>
      <c r="C12" s="10"/>
      <c r="D12" s="10"/>
      <c r="E12" s="10"/>
      <c r="F12" s="10"/>
      <c r="G12" s="7"/>
      <c r="H12" s="7"/>
      <c r="I12" s="10"/>
      <c r="J12" s="10"/>
      <c r="K12" s="10"/>
    </row>
    <row r="13" customFormat="false" ht="25.5" hidden="false" customHeight="true" outlineLevel="0" collapsed="false">
      <c r="A13" s="10" t="str">
        <f aca="false">IF(B13="","","KI-"&amp;TEXT(ROW()-5,"000"))</f>
        <v/>
      </c>
      <c r="B13" s="10"/>
      <c r="C13" s="10"/>
      <c r="D13" s="10"/>
      <c r="E13" s="10"/>
      <c r="F13" s="10"/>
      <c r="G13" s="7"/>
      <c r="H13" s="7"/>
      <c r="I13" s="10"/>
      <c r="J13" s="10"/>
      <c r="K13" s="10"/>
    </row>
    <row r="14" customFormat="false" ht="25.5" hidden="false" customHeight="true" outlineLevel="0" collapsed="false">
      <c r="A14" s="10" t="str">
        <f aca="false">IF(B14="","","KI-"&amp;TEXT(ROW()-5,"000"))</f>
        <v/>
      </c>
      <c r="B14" s="10"/>
      <c r="C14" s="10"/>
      <c r="D14" s="10"/>
      <c r="E14" s="10"/>
      <c r="F14" s="10"/>
      <c r="G14" s="7"/>
      <c r="H14" s="7"/>
      <c r="I14" s="10"/>
      <c r="J14" s="10"/>
      <c r="K14" s="10"/>
    </row>
    <row r="15" customFormat="false" ht="25.5" hidden="false" customHeight="true" outlineLevel="0" collapsed="false">
      <c r="A15" s="10" t="str">
        <f aca="false">IF(B15="","","KI-"&amp;TEXT(ROW()-5,"000"))</f>
        <v/>
      </c>
      <c r="B15" s="10"/>
      <c r="C15" s="10"/>
      <c r="D15" s="10"/>
      <c r="E15" s="10"/>
      <c r="F15" s="10"/>
      <c r="G15" s="7"/>
      <c r="H15" s="7"/>
      <c r="I15" s="10"/>
      <c r="J15" s="10"/>
      <c r="K15" s="10"/>
    </row>
    <row r="16" customFormat="false" ht="25.5" hidden="false" customHeight="true" outlineLevel="0" collapsed="false">
      <c r="A16" s="10" t="str">
        <f aca="false">IF(B16="","","KI-"&amp;TEXT(ROW()-5,"000"))</f>
        <v/>
      </c>
      <c r="B16" s="10"/>
      <c r="C16" s="10"/>
      <c r="D16" s="10"/>
      <c r="E16" s="10"/>
      <c r="F16" s="10"/>
      <c r="G16" s="7"/>
      <c r="H16" s="7"/>
      <c r="I16" s="10"/>
      <c r="J16" s="10"/>
      <c r="K16" s="10"/>
    </row>
    <row r="17" customFormat="false" ht="25.5" hidden="false" customHeight="true" outlineLevel="0" collapsed="false">
      <c r="A17" s="10" t="str">
        <f aca="false">IF(B17="","","KI-"&amp;TEXT(ROW()-5,"000"))</f>
        <v/>
      </c>
      <c r="B17" s="10"/>
      <c r="C17" s="10"/>
      <c r="D17" s="10"/>
      <c r="E17" s="10"/>
      <c r="F17" s="10"/>
      <c r="G17" s="7"/>
      <c r="H17" s="7"/>
      <c r="I17" s="10"/>
      <c r="J17" s="10"/>
      <c r="K17" s="10"/>
    </row>
    <row r="18" customFormat="false" ht="25.5" hidden="false" customHeight="true" outlineLevel="0" collapsed="false">
      <c r="A18" s="10" t="str">
        <f aca="false">IF(B18="","","KI-"&amp;TEXT(ROW()-5,"000"))</f>
        <v/>
      </c>
      <c r="B18" s="10"/>
      <c r="C18" s="10"/>
      <c r="D18" s="10"/>
      <c r="E18" s="10"/>
      <c r="F18" s="10"/>
      <c r="G18" s="7"/>
      <c r="H18" s="7"/>
      <c r="I18" s="10"/>
      <c r="J18" s="10"/>
      <c r="K18" s="10"/>
    </row>
    <row r="19" customFormat="false" ht="25.5" hidden="false" customHeight="true" outlineLevel="0" collapsed="false">
      <c r="A19" s="10" t="str">
        <f aca="false">IF(B19="","","KI-"&amp;TEXT(ROW()-5,"000"))</f>
        <v/>
      </c>
      <c r="B19" s="10"/>
      <c r="C19" s="10"/>
      <c r="D19" s="10"/>
      <c r="E19" s="10"/>
      <c r="F19" s="10"/>
      <c r="G19" s="7"/>
      <c r="H19" s="7"/>
      <c r="I19" s="10"/>
      <c r="J19" s="10"/>
      <c r="K19" s="10"/>
    </row>
    <row r="20" customFormat="false" ht="25.5" hidden="false" customHeight="true" outlineLevel="0" collapsed="false">
      <c r="A20" s="10" t="str">
        <f aca="false">IF(B20="","","KI-"&amp;TEXT(ROW()-5,"000"))</f>
        <v/>
      </c>
      <c r="B20" s="10"/>
      <c r="C20" s="10"/>
      <c r="D20" s="10"/>
      <c r="E20" s="10"/>
      <c r="F20" s="10"/>
      <c r="G20" s="7"/>
      <c r="H20" s="7"/>
      <c r="I20" s="10"/>
      <c r="J20" s="10"/>
      <c r="K20" s="10"/>
    </row>
    <row r="21" customFormat="false" ht="25.5" hidden="false" customHeight="true" outlineLevel="0" collapsed="false">
      <c r="A21" s="10" t="str">
        <f aca="false">IF(B21="","","KI-"&amp;TEXT(ROW()-5,"000"))</f>
        <v/>
      </c>
      <c r="B21" s="10"/>
      <c r="C21" s="10"/>
      <c r="D21" s="10"/>
      <c r="E21" s="10"/>
      <c r="F21" s="10"/>
      <c r="G21" s="7"/>
      <c r="H21" s="7"/>
      <c r="I21" s="10"/>
      <c r="J21" s="10"/>
      <c r="K21" s="10"/>
    </row>
    <row r="22" customFormat="false" ht="25.5" hidden="false" customHeight="true" outlineLevel="0" collapsed="false">
      <c r="A22" s="10" t="str">
        <f aca="false">IF(B22="","","KI-"&amp;TEXT(ROW()-5,"000"))</f>
        <v/>
      </c>
      <c r="B22" s="10"/>
      <c r="C22" s="10"/>
      <c r="D22" s="10"/>
      <c r="E22" s="10"/>
      <c r="F22" s="10"/>
      <c r="G22" s="7"/>
      <c r="H22" s="7"/>
      <c r="I22" s="10"/>
      <c r="J22" s="10"/>
      <c r="K22" s="10"/>
    </row>
    <row r="23" customFormat="false" ht="25.5" hidden="false" customHeight="true" outlineLevel="0" collapsed="false">
      <c r="A23" s="10" t="str">
        <f aca="false">IF(B23="","","KI-"&amp;TEXT(ROW()-5,"000"))</f>
        <v/>
      </c>
      <c r="B23" s="10"/>
      <c r="C23" s="10"/>
      <c r="D23" s="10"/>
      <c r="E23" s="10"/>
      <c r="F23" s="10"/>
      <c r="G23" s="7"/>
      <c r="H23" s="7"/>
      <c r="I23" s="10"/>
      <c r="J23" s="10"/>
      <c r="K23" s="10"/>
    </row>
    <row r="24" customFormat="false" ht="25.5" hidden="false" customHeight="true" outlineLevel="0" collapsed="false">
      <c r="A24" s="10" t="str">
        <f aca="false">IF(B24="","","KI-"&amp;TEXT(ROW()-5,"000"))</f>
        <v/>
      </c>
      <c r="B24" s="10"/>
      <c r="C24" s="10"/>
      <c r="D24" s="10"/>
      <c r="E24" s="10"/>
      <c r="F24" s="10"/>
      <c r="G24" s="7"/>
      <c r="H24" s="7"/>
      <c r="I24" s="10"/>
      <c r="J24" s="10"/>
      <c r="K24" s="10"/>
    </row>
    <row r="25" customFormat="false" ht="25.5" hidden="false" customHeight="true" outlineLevel="0" collapsed="false">
      <c r="A25" s="10" t="str">
        <f aca="false">IF(B25="","","KI-"&amp;TEXT(ROW()-5,"000"))</f>
        <v/>
      </c>
      <c r="B25" s="10"/>
      <c r="C25" s="10"/>
      <c r="D25" s="10"/>
      <c r="E25" s="10"/>
      <c r="F25" s="10"/>
      <c r="G25" s="7"/>
      <c r="H25" s="7"/>
      <c r="I25" s="10"/>
      <c r="J25" s="10"/>
      <c r="K25" s="10"/>
    </row>
    <row r="26" customFormat="false" ht="25.5" hidden="false" customHeight="true" outlineLevel="0" collapsed="false">
      <c r="A26" s="10" t="str">
        <f aca="false">IF(B26="","","KI-"&amp;TEXT(ROW()-5,"000"))</f>
        <v/>
      </c>
      <c r="B26" s="10"/>
      <c r="C26" s="10"/>
      <c r="D26" s="10"/>
      <c r="E26" s="10"/>
      <c r="F26" s="10"/>
      <c r="G26" s="7"/>
      <c r="H26" s="7"/>
      <c r="I26" s="10"/>
      <c r="J26" s="10"/>
      <c r="K26" s="10"/>
    </row>
    <row r="27" customFormat="false" ht="25.5" hidden="false" customHeight="true" outlineLevel="0" collapsed="false">
      <c r="A27" s="10" t="str">
        <f aca="false">IF(B27="","","KI-"&amp;TEXT(ROW()-5,"000"))</f>
        <v/>
      </c>
      <c r="B27" s="10"/>
      <c r="C27" s="10"/>
      <c r="D27" s="10"/>
      <c r="E27" s="10"/>
      <c r="F27" s="10"/>
      <c r="G27" s="7"/>
      <c r="H27" s="7"/>
      <c r="I27" s="10"/>
      <c r="J27" s="10"/>
      <c r="K27" s="10"/>
    </row>
    <row r="28" customFormat="false" ht="25.5" hidden="false" customHeight="true" outlineLevel="0" collapsed="false">
      <c r="A28" s="10" t="str">
        <f aca="false">IF(B28="","","KI-"&amp;TEXT(ROW()-5,"000"))</f>
        <v/>
      </c>
      <c r="B28" s="10"/>
      <c r="C28" s="10"/>
      <c r="D28" s="10"/>
      <c r="E28" s="10"/>
      <c r="F28" s="10"/>
      <c r="G28" s="7"/>
      <c r="H28" s="7"/>
      <c r="I28" s="10"/>
      <c r="J28" s="10"/>
      <c r="K28" s="10"/>
    </row>
    <row r="29" customFormat="false" ht="25.5" hidden="false" customHeight="true" outlineLevel="0" collapsed="false">
      <c r="A29" s="10" t="str">
        <f aca="false">IF(B29="","","KI-"&amp;TEXT(ROW()-5,"000"))</f>
        <v/>
      </c>
      <c r="B29" s="10"/>
      <c r="C29" s="10"/>
      <c r="D29" s="10"/>
      <c r="E29" s="10"/>
      <c r="F29" s="10"/>
      <c r="G29" s="7"/>
      <c r="H29" s="7"/>
      <c r="I29" s="10"/>
      <c r="J29" s="10"/>
      <c r="K29" s="10"/>
    </row>
    <row r="30" customFormat="false" ht="25.5" hidden="false" customHeight="true" outlineLevel="0" collapsed="false">
      <c r="A30" s="10" t="str">
        <f aca="false">IF(B30="","","KI-"&amp;TEXT(ROW()-5,"000"))</f>
        <v/>
      </c>
      <c r="B30" s="10"/>
      <c r="C30" s="10"/>
      <c r="D30" s="10"/>
      <c r="E30" s="10"/>
      <c r="F30" s="10"/>
      <c r="G30" s="7"/>
      <c r="H30" s="7"/>
      <c r="I30" s="10"/>
      <c r="J30" s="10"/>
      <c r="K30" s="10"/>
    </row>
    <row r="31" customFormat="false" ht="25.5" hidden="false" customHeight="true" outlineLevel="0" collapsed="false">
      <c r="A31" s="10" t="str">
        <f aca="false">IF(B31="","","KI-"&amp;TEXT(ROW()-5,"000"))</f>
        <v/>
      </c>
      <c r="B31" s="10"/>
      <c r="C31" s="10"/>
      <c r="D31" s="10"/>
      <c r="E31" s="10"/>
      <c r="F31" s="10"/>
      <c r="G31" s="7"/>
      <c r="H31" s="7"/>
      <c r="I31" s="10"/>
      <c r="J31" s="10"/>
      <c r="K31" s="10"/>
    </row>
    <row r="32" customFormat="false" ht="25.5" hidden="false" customHeight="true" outlineLevel="0" collapsed="false">
      <c r="A32" s="10" t="str">
        <f aca="false">IF(B32="","","KI-"&amp;TEXT(ROW()-5,"000"))</f>
        <v/>
      </c>
      <c r="B32" s="10"/>
      <c r="C32" s="10"/>
      <c r="D32" s="10"/>
      <c r="E32" s="10"/>
      <c r="F32" s="10"/>
      <c r="G32" s="7"/>
      <c r="H32" s="7"/>
      <c r="I32" s="10"/>
      <c r="J32" s="10"/>
      <c r="K32" s="10"/>
    </row>
    <row r="33" customFormat="false" ht="25.5" hidden="false" customHeight="true" outlineLevel="0" collapsed="false">
      <c r="A33" s="10" t="str">
        <f aca="false">IF(B33="","","KI-"&amp;TEXT(ROW()-5,"000"))</f>
        <v/>
      </c>
      <c r="B33" s="10"/>
      <c r="C33" s="10"/>
      <c r="D33" s="10"/>
      <c r="E33" s="10"/>
      <c r="F33" s="10"/>
      <c r="G33" s="7"/>
      <c r="H33" s="7"/>
      <c r="I33" s="10"/>
      <c r="J33" s="10"/>
      <c r="K33" s="10"/>
    </row>
    <row r="34" customFormat="false" ht="25.5" hidden="false" customHeight="true" outlineLevel="0" collapsed="false">
      <c r="A34" s="10" t="str">
        <f aca="false">IF(B34="","","KI-"&amp;TEXT(ROW()-5,"000"))</f>
        <v/>
      </c>
      <c r="B34" s="10"/>
      <c r="C34" s="10"/>
      <c r="D34" s="10"/>
      <c r="E34" s="10"/>
      <c r="F34" s="10"/>
      <c r="G34" s="7"/>
      <c r="H34" s="7"/>
      <c r="I34" s="10"/>
      <c r="J34" s="10"/>
      <c r="K34" s="10"/>
    </row>
    <row r="35" customFormat="false" ht="25.5" hidden="false" customHeight="true" outlineLevel="0" collapsed="false">
      <c r="A35" s="10" t="str">
        <f aca="false">IF(B35="","","KI-"&amp;TEXT(ROW()-5,"000"))</f>
        <v/>
      </c>
      <c r="B35" s="10"/>
      <c r="C35" s="10"/>
      <c r="D35" s="10"/>
      <c r="E35" s="10"/>
      <c r="F35" s="10"/>
      <c r="G35" s="7"/>
      <c r="H35" s="7"/>
      <c r="I35" s="10"/>
      <c r="J35" s="10"/>
      <c r="K35" s="10"/>
    </row>
    <row r="36" customFormat="false" ht="25.5" hidden="false" customHeight="true" outlineLevel="0" collapsed="false">
      <c r="A36" s="10" t="str">
        <f aca="false">IF(B36="","","KI-"&amp;TEXT(ROW()-5,"000"))</f>
        <v/>
      </c>
      <c r="B36" s="10"/>
      <c r="C36" s="10"/>
      <c r="D36" s="10"/>
      <c r="E36" s="10"/>
      <c r="F36" s="10"/>
      <c r="G36" s="7"/>
      <c r="H36" s="7"/>
      <c r="I36" s="10"/>
      <c r="J36" s="10"/>
      <c r="K36" s="10"/>
    </row>
    <row r="37" customFormat="false" ht="25.5" hidden="false" customHeight="true" outlineLevel="0" collapsed="false">
      <c r="A37" s="10" t="str">
        <f aca="false">IF(B37="","","KI-"&amp;TEXT(ROW()-5,"000"))</f>
        <v/>
      </c>
      <c r="B37" s="10"/>
      <c r="C37" s="10"/>
      <c r="D37" s="10"/>
      <c r="E37" s="10"/>
      <c r="F37" s="10"/>
      <c r="G37" s="7"/>
      <c r="H37" s="7"/>
      <c r="I37" s="10"/>
      <c r="J37" s="10"/>
      <c r="K37" s="10"/>
    </row>
    <row r="38" customFormat="false" ht="25.5" hidden="false" customHeight="true" outlineLevel="0" collapsed="false">
      <c r="A38" s="10" t="str">
        <f aca="false">IF(B38="","","KI-"&amp;TEXT(ROW()-5,"000"))</f>
        <v/>
      </c>
      <c r="B38" s="10"/>
      <c r="C38" s="10"/>
      <c r="D38" s="10"/>
      <c r="E38" s="10"/>
      <c r="F38" s="10"/>
      <c r="G38" s="7"/>
      <c r="H38" s="7"/>
      <c r="I38" s="10"/>
      <c r="J38" s="10"/>
      <c r="K38" s="10"/>
    </row>
    <row r="39" customFormat="false" ht="25.5" hidden="false" customHeight="true" outlineLevel="0" collapsed="false">
      <c r="A39" s="10" t="str">
        <f aca="false">IF(B39="","","KI-"&amp;TEXT(ROW()-5,"000"))</f>
        <v/>
      </c>
      <c r="B39" s="10"/>
      <c r="C39" s="10"/>
      <c r="D39" s="10"/>
      <c r="E39" s="10"/>
      <c r="F39" s="10"/>
      <c r="G39" s="7"/>
      <c r="H39" s="7"/>
      <c r="I39" s="10"/>
      <c r="J39" s="10"/>
      <c r="K39" s="10"/>
    </row>
    <row r="40" customFormat="false" ht="25.5" hidden="false" customHeight="true" outlineLevel="0" collapsed="false">
      <c r="A40" s="10" t="str">
        <f aca="false">IF(B40="","","KI-"&amp;TEXT(ROW()-5,"000"))</f>
        <v/>
      </c>
      <c r="B40" s="10"/>
      <c r="C40" s="10"/>
      <c r="D40" s="10"/>
      <c r="E40" s="10"/>
      <c r="F40" s="10"/>
      <c r="G40" s="7"/>
      <c r="H40" s="7"/>
      <c r="I40" s="10"/>
      <c r="J40" s="10"/>
      <c r="K40" s="10"/>
    </row>
    <row r="41" customFormat="false" ht="25.5" hidden="false" customHeight="true" outlineLevel="0" collapsed="false">
      <c r="A41" s="10" t="str">
        <f aca="false">IF(B41="","","KI-"&amp;TEXT(ROW()-5,"000"))</f>
        <v/>
      </c>
      <c r="B41" s="10"/>
      <c r="C41" s="10"/>
      <c r="D41" s="10"/>
      <c r="E41" s="10"/>
      <c r="F41" s="10"/>
      <c r="G41" s="7"/>
      <c r="H41" s="7"/>
      <c r="I41" s="10"/>
      <c r="J41" s="10"/>
      <c r="K41" s="10"/>
    </row>
    <row r="42" customFormat="false" ht="25.5" hidden="false" customHeight="true" outlineLevel="0" collapsed="false">
      <c r="A42" s="10" t="str">
        <f aca="false">IF(B42="","","KI-"&amp;TEXT(ROW()-5,"000"))</f>
        <v/>
      </c>
      <c r="B42" s="10"/>
      <c r="C42" s="10"/>
      <c r="D42" s="10"/>
      <c r="E42" s="10"/>
      <c r="F42" s="10"/>
      <c r="G42" s="7"/>
      <c r="H42" s="7"/>
      <c r="I42" s="10"/>
      <c r="J42" s="10"/>
      <c r="K42" s="10"/>
    </row>
    <row r="43" customFormat="false" ht="25.5" hidden="false" customHeight="true" outlineLevel="0" collapsed="false">
      <c r="A43" s="10" t="str">
        <f aca="false">IF(B43="","","KI-"&amp;TEXT(ROW()-5,"000"))</f>
        <v/>
      </c>
      <c r="B43" s="10"/>
      <c r="C43" s="10"/>
      <c r="D43" s="10"/>
      <c r="E43" s="10"/>
      <c r="F43" s="10"/>
      <c r="G43" s="7"/>
      <c r="H43" s="7"/>
      <c r="I43" s="10"/>
      <c r="J43" s="10"/>
      <c r="K43" s="10"/>
    </row>
    <row r="44" customFormat="false" ht="25.5" hidden="false" customHeight="true" outlineLevel="0" collapsed="false">
      <c r="A44" s="10" t="str">
        <f aca="false">IF(B44="","","KI-"&amp;TEXT(ROW()-5,"000"))</f>
        <v/>
      </c>
      <c r="B44" s="10"/>
      <c r="C44" s="10"/>
      <c r="D44" s="10"/>
      <c r="E44" s="10"/>
      <c r="F44" s="10"/>
      <c r="G44" s="7"/>
      <c r="H44" s="7"/>
      <c r="I44" s="10"/>
      <c r="J44" s="10"/>
      <c r="K44" s="10"/>
    </row>
    <row r="45" customFormat="false" ht="25.5" hidden="false" customHeight="true" outlineLevel="0" collapsed="false">
      <c r="A45" s="10" t="str">
        <f aca="false">IF(B45="","","KI-"&amp;TEXT(ROW()-5,"000"))</f>
        <v/>
      </c>
      <c r="B45" s="10"/>
      <c r="C45" s="10"/>
      <c r="D45" s="10"/>
      <c r="E45" s="10"/>
      <c r="F45" s="10"/>
      <c r="G45" s="7"/>
      <c r="H45" s="7"/>
      <c r="I45" s="10"/>
      <c r="J45" s="10"/>
      <c r="K45" s="10"/>
    </row>
    <row r="46" customFormat="false" ht="25.5" hidden="false" customHeight="true" outlineLevel="0" collapsed="false">
      <c r="A46" s="10" t="str">
        <f aca="false">IF(B46="","","KI-"&amp;TEXT(ROW()-5,"000"))</f>
        <v/>
      </c>
      <c r="B46" s="10"/>
      <c r="C46" s="10"/>
      <c r="D46" s="10"/>
      <c r="E46" s="10"/>
      <c r="F46" s="10"/>
      <c r="G46" s="7"/>
      <c r="H46" s="7"/>
      <c r="I46" s="10"/>
      <c r="J46" s="10"/>
      <c r="K46" s="10"/>
    </row>
    <row r="47" customFormat="false" ht="25.5" hidden="false" customHeight="true" outlineLevel="0" collapsed="false">
      <c r="A47" s="10" t="str">
        <f aca="false">IF(B47="","","KI-"&amp;TEXT(ROW()-5,"000"))</f>
        <v/>
      </c>
      <c r="B47" s="10"/>
      <c r="C47" s="10"/>
      <c r="D47" s="10"/>
      <c r="E47" s="10"/>
      <c r="F47" s="10"/>
      <c r="G47" s="7"/>
      <c r="H47" s="7"/>
      <c r="I47" s="10"/>
      <c r="J47" s="10"/>
      <c r="K47" s="10"/>
    </row>
    <row r="48" customFormat="false" ht="25.5" hidden="false" customHeight="true" outlineLevel="0" collapsed="false">
      <c r="A48" s="10" t="str">
        <f aca="false">IF(B48="","","KI-"&amp;TEXT(ROW()-5,"000"))</f>
        <v/>
      </c>
      <c r="B48" s="10"/>
      <c r="C48" s="10"/>
      <c r="D48" s="10"/>
      <c r="E48" s="10"/>
      <c r="F48" s="10"/>
      <c r="G48" s="7"/>
      <c r="H48" s="7"/>
      <c r="I48" s="10"/>
      <c r="J48" s="10"/>
      <c r="K48" s="10"/>
    </row>
    <row r="49" customFormat="false" ht="25.5" hidden="false" customHeight="true" outlineLevel="0" collapsed="false">
      <c r="A49" s="10" t="str">
        <f aca="false">IF(B49="","","KI-"&amp;TEXT(ROW()-5,"000"))</f>
        <v/>
      </c>
      <c r="B49" s="10"/>
      <c r="C49" s="10"/>
      <c r="D49" s="10"/>
      <c r="E49" s="10"/>
      <c r="F49" s="10"/>
      <c r="G49" s="7"/>
      <c r="H49" s="7"/>
      <c r="I49" s="10"/>
      <c r="J49" s="10"/>
      <c r="K49" s="10"/>
    </row>
    <row r="50" customFormat="false" ht="25.5" hidden="false" customHeight="true" outlineLevel="0" collapsed="false">
      <c r="A50" s="10" t="str">
        <f aca="false">IF(B50="","","KI-"&amp;TEXT(ROW()-5,"000"))</f>
        <v/>
      </c>
      <c r="B50" s="10"/>
      <c r="C50" s="10"/>
      <c r="D50" s="10"/>
      <c r="E50" s="10"/>
      <c r="F50" s="10"/>
      <c r="G50" s="7"/>
      <c r="H50" s="7"/>
      <c r="I50" s="10"/>
      <c r="J50" s="10"/>
      <c r="K50" s="10"/>
    </row>
    <row r="51" customFormat="false" ht="25.5" hidden="false" customHeight="true" outlineLevel="0" collapsed="false">
      <c r="A51" s="10" t="str">
        <f aca="false">IF(B51="","","KI-"&amp;TEXT(ROW()-5,"000"))</f>
        <v/>
      </c>
      <c r="B51" s="10"/>
      <c r="C51" s="10"/>
      <c r="D51" s="10"/>
      <c r="E51" s="10"/>
      <c r="F51" s="10"/>
      <c r="G51" s="7"/>
      <c r="H51" s="7"/>
      <c r="I51" s="10"/>
      <c r="J51" s="10"/>
      <c r="K51" s="10"/>
    </row>
    <row r="52" customFormat="false" ht="25.5" hidden="false" customHeight="true" outlineLevel="0" collapsed="false">
      <c r="A52" s="10" t="str">
        <f aca="false">IF(B52="","","KI-"&amp;TEXT(ROW()-5,"000"))</f>
        <v/>
      </c>
      <c r="B52" s="10"/>
      <c r="C52" s="10"/>
      <c r="D52" s="10"/>
      <c r="E52" s="10"/>
      <c r="F52" s="10"/>
      <c r="G52" s="7"/>
      <c r="H52" s="7"/>
      <c r="I52" s="10"/>
      <c r="J52" s="10"/>
      <c r="K52" s="10"/>
    </row>
    <row r="53" customFormat="false" ht="25.5" hidden="false" customHeight="true" outlineLevel="0" collapsed="false">
      <c r="A53" s="10" t="str">
        <f aca="false">IF(B53="","","KI-"&amp;TEXT(ROW()-5,"000"))</f>
        <v/>
      </c>
      <c r="B53" s="10"/>
      <c r="C53" s="10"/>
      <c r="D53" s="10"/>
      <c r="E53" s="10"/>
      <c r="F53" s="10"/>
      <c r="G53" s="7"/>
      <c r="H53" s="7"/>
      <c r="I53" s="10"/>
      <c r="J53" s="10"/>
      <c r="K53" s="10"/>
    </row>
    <row r="54" customFormat="false" ht="25.5" hidden="false" customHeight="true" outlineLevel="0" collapsed="false">
      <c r="A54" s="10" t="str">
        <f aca="false">IF(B54="","","KI-"&amp;TEXT(ROW()-5,"000"))</f>
        <v/>
      </c>
      <c r="B54" s="10"/>
      <c r="C54" s="10"/>
      <c r="D54" s="10"/>
      <c r="E54" s="10"/>
      <c r="F54" s="10"/>
      <c r="G54" s="7"/>
      <c r="H54" s="7"/>
      <c r="I54" s="10"/>
      <c r="J54" s="10"/>
      <c r="K54" s="10"/>
    </row>
    <row r="55" customFormat="false" ht="25.5" hidden="false" customHeight="true" outlineLevel="0" collapsed="false">
      <c r="A55" s="10" t="str">
        <f aca="false">IF(B55="","","KI-"&amp;TEXT(ROW()-5,"000"))</f>
        <v/>
      </c>
      <c r="B55" s="10"/>
      <c r="C55" s="10"/>
      <c r="D55" s="10"/>
      <c r="E55" s="10"/>
      <c r="F55" s="10"/>
      <c r="G55" s="7"/>
      <c r="H55" s="7"/>
      <c r="I55" s="10"/>
      <c r="J55" s="10"/>
      <c r="K55" s="10"/>
    </row>
    <row r="56" customFormat="false" ht="25.5" hidden="false" customHeight="true" outlineLevel="0" collapsed="false">
      <c r="A56" s="10" t="str">
        <f aca="false">IF(B56="","","KI-"&amp;TEXT(ROW()-5,"000"))</f>
        <v/>
      </c>
      <c r="B56" s="10"/>
      <c r="C56" s="10"/>
      <c r="D56" s="10"/>
      <c r="E56" s="10"/>
      <c r="F56" s="10"/>
      <c r="G56" s="7"/>
      <c r="H56" s="7"/>
      <c r="I56" s="10"/>
      <c r="J56" s="10"/>
      <c r="K56" s="10"/>
    </row>
    <row r="57" customFormat="false" ht="25.5" hidden="false" customHeight="true" outlineLevel="0" collapsed="false">
      <c r="A57" s="10" t="str">
        <f aca="false">IF(B57="","","KI-"&amp;TEXT(ROW()-5,"000"))</f>
        <v/>
      </c>
      <c r="B57" s="10"/>
      <c r="C57" s="10"/>
      <c r="D57" s="10"/>
      <c r="E57" s="10"/>
      <c r="F57" s="10"/>
      <c r="G57" s="7"/>
      <c r="H57" s="7"/>
      <c r="I57" s="10"/>
      <c r="J57" s="10"/>
      <c r="K57" s="10"/>
    </row>
    <row r="58" customFormat="false" ht="25.5" hidden="false" customHeight="true" outlineLevel="0" collapsed="false">
      <c r="A58" s="10" t="str">
        <f aca="false">IF(B58="","","KI-"&amp;TEXT(ROW()-5,"000"))</f>
        <v/>
      </c>
      <c r="B58" s="10"/>
      <c r="C58" s="10"/>
      <c r="D58" s="10"/>
      <c r="E58" s="10"/>
      <c r="F58" s="10"/>
      <c r="G58" s="7"/>
      <c r="H58" s="7"/>
      <c r="I58" s="10"/>
      <c r="J58" s="10"/>
      <c r="K58" s="10"/>
    </row>
    <row r="59" customFormat="false" ht="25.5" hidden="false" customHeight="true" outlineLevel="0" collapsed="false">
      <c r="A59" s="10" t="str">
        <f aca="false">IF(B59="","","KI-"&amp;TEXT(ROW()-5,"000"))</f>
        <v/>
      </c>
      <c r="B59" s="10"/>
      <c r="C59" s="10"/>
      <c r="D59" s="10"/>
      <c r="E59" s="10"/>
      <c r="F59" s="10"/>
      <c r="G59" s="7"/>
      <c r="H59" s="7"/>
      <c r="I59" s="10"/>
      <c r="J59" s="10"/>
      <c r="K59" s="10"/>
    </row>
    <row r="60" customFormat="false" ht="25.5" hidden="false" customHeight="true" outlineLevel="0" collapsed="false">
      <c r="A60" s="10" t="str">
        <f aca="false">IF(B60="","","KI-"&amp;TEXT(ROW()-5,"000"))</f>
        <v/>
      </c>
      <c r="B60" s="10"/>
      <c r="C60" s="10"/>
      <c r="D60" s="10"/>
      <c r="E60" s="10"/>
      <c r="F60" s="10"/>
      <c r="G60" s="7"/>
      <c r="H60" s="7"/>
      <c r="I60" s="10"/>
      <c r="J60" s="10"/>
      <c r="K60" s="10"/>
    </row>
    <row r="61" customFormat="false" ht="25.5" hidden="false" customHeight="true" outlineLevel="0" collapsed="false">
      <c r="A61" s="10" t="str">
        <f aca="false">IF(B61="","","KI-"&amp;TEXT(ROW()-5,"000"))</f>
        <v/>
      </c>
      <c r="B61" s="10"/>
      <c r="C61" s="10"/>
      <c r="D61" s="10"/>
      <c r="E61" s="10"/>
      <c r="F61" s="10"/>
      <c r="G61" s="7"/>
      <c r="H61" s="7"/>
      <c r="I61" s="10"/>
      <c r="J61" s="10"/>
      <c r="K61" s="10"/>
    </row>
    <row r="62" customFormat="false" ht="25.5" hidden="false" customHeight="true" outlineLevel="0" collapsed="false">
      <c r="A62" s="10" t="str">
        <f aca="false">IF(B62="","","KI-"&amp;TEXT(ROW()-5,"000"))</f>
        <v/>
      </c>
      <c r="B62" s="10"/>
      <c r="C62" s="10"/>
      <c r="D62" s="10"/>
      <c r="E62" s="10"/>
      <c r="F62" s="10"/>
      <c r="G62" s="7"/>
      <c r="H62" s="7"/>
      <c r="I62" s="10"/>
      <c r="J62" s="10"/>
      <c r="K62" s="10"/>
    </row>
    <row r="63" customFormat="false" ht="25.5" hidden="false" customHeight="true" outlineLevel="0" collapsed="false">
      <c r="A63" s="10" t="str">
        <f aca="false">IF(B63="","","KI-"&amp;TEXT(ROW()-5,"000"))</f>
        <v/>
      </c>
      <c r="B63" s="10"/>
      <c r="C63" s="10"/>
      <c r="D63" s="10"/>
      <c r="E63" s="10"/>
      <c r="F63" s="10"/>
      <c r="G63" s="7"/>
      <c r="H63" s="7"/>
      <c r="I63" s="10"/>
      <c r="J63" s="10"/>
      <c r="K63" s="10"/>
    </row>
    <row r="64" customFormat="false" ht="25.5" hidden="false" customHeight="true" outlineLevel="0" collapsed="false">
      <c r="A64" s="10" t="str">
        <f aca="false">IF(B64="","","KI-"&amp;TEXT(ROW()-5,"000"))</f>
        <v/>
      </c>
      <c r="B64" s="10"/>
      <c r="C64" s="10"/>
      <c r="D64" s="10"/>
      <c r="E64" s="10"/>
      <c r="F64" s="10"/>
      <c r="G64" s="7"/>
      <c r="H64" s="7"/>
      <c r="I64" s="10"/>
      <c r="J64" s="10"/>
      <c r="K64" s="10"/>
    </row>
    <row r="65" customFormat="false" ht="25.5" hidden="false" customHeight="true" outlineLevel="0" collapsed="false">
      <c r="A65" s="10" t="str">
        <f aca="false">IF(B65="","","KI-"&amp;TEXT(ROW()-5,"000"))</f>
        <v/>
      </c>
      <c r="B65" s="10"/>
      <c r="C65" s="10"/>
      <c r="D65" s="10"/>
      <c r="E65" s="10"/>
      <c r="F65" s="10"/>
      <c r="G65" s="7"/>
      <c r="H65" s="7"/>
      <c r="I65" s="10"/>
      <c r="J65" s="10"/>
      <c r="K65" s="10"/>
    </row>
  </sheetData>
  <mergeCells count="2">
    <mergeCell ref="A1:K1"/>
    <mergeCell ref="A2:K2"/>
  </mergeCells>
  <dataValidations count="2">
    <dataValidation allowBlank="true" error="Bitte einen Wert aus der Liste wählen. Freitext führt zu falschen Einstufungen." errorStyle="stop" errorTitle="Ungültige Eingabe" operator="between" showDropDown="false" showErrorMessage="true" showInputMessage="false" sqref="G6:G65" type="list">
      <formula1>'08_Register'!$I$5:$I$9</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H6:H65" type="list">
      <formula1>"geplant,im Test,produktiv,abgelöst"</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8"/>
    <col collapsed="false" customWidth="true" hidden="false" outlineLevel="0" max="6" min="4" style="0" width="20"/>
    <col collapsed="false" customWidth="true" hidden="false" outlineLevel="0" max="7" min="7" style="0" width="22"/>
    <col collapsed="false" customWidth="true" hidden="false" outlineLevel="0" max="9" min="8" style="0" width="24"/>
    <col collapsed="false" customWidth="true" hidden="false" outlineLevel="0" max="10" min="10" style="0" width="46"/>
    <col collapsed="false" customWidth="true" hidden="false" outlineLevel="0" max="11" min="11" style="0" width="13"/>
    <col collapsed="false" customWidth="true" hidden="false" outlineLevel="0" max="12" min="12" style="0" width="18"/>
  </cols>
  <sheetData>
    <row r="1" customFormat="false" ht="24" hidden="false" customHeight="true" outlineLevel="0" collapsed="false">
      <c r="A1" s="1" t="s">
        <v>85</v>
      </c>
      <c r="B1" s="1"/>
      <c r="C1" s="1"/>
      <c r="D1" s="1"/>
      <c r="E1" s="1"/>
      <c r="F1" s="1"/>
      <c r="G1" s="1"/>
      <c r="H1" s="1"/>
      <c r="I1" s="1"/>
      <c r="J1" s="1"/>
      <c r="K1" s="1"/>
    </row>
    <row r="2" customFormat="false" ht="15" hidden="false" customHeight="false" outlineLevel="0" collapsed="false">
      <c r="A2" s="2" t="s">
        <v>86</v>
      </c>
      <c r="B2" s="2"/>
      <c r="C2" s="2"/>
      <c r="D2" s="2"/>
      <c r="E2" s="2"/>
      <c r="F2" s="2"/>
      <c r="G2" s="2"/>
      <c r="H2" s="2"/>
      <c r="I2" s="2"/>
      <c r="J2" s="2"/>
      <c r="K2" s="2"/>
    </row>
    <row r="5" customFormat="false" ht="69.75" hidden="false" customHeight="true" outlineLevel="0" collapsed="false">
      <c r="A5" s="9" t="s">
        <v>74</v>
      </c>
      <c r="B5" s="9" t="s">
        <v>87</v>
      </c>
      <c r="C5" s="9" t="s">
        <v>88</v>
      </c>
      <c r="D5" s="9" t="s">
        <v>89</v>
      </c>
      <c r="E5" s="9" t="s">
        <v>90</v>
      </c>
      <c r="F5" s="9" t="s">
        <v>91</v>
      </c>
      <c r="G5" s="9" t="s">
        <v>92</v>
      </c>
      <c r="H5" s="9" t="s">
        <v>93</v>
      </c>
      <c r="I5" s="9" t="s">
        <v>94</v>
      </c>
      <c r="J5" s="9" t="s">
        <v>95</v>
      </c>
      <c r="K5" s="9" t="s">
        <v>96</v>
      </c>
      <c r="L5" s="9" t="s">
        <v>97</v>
      </c>
    </row>
    <row r="6" customFormat="false" ht="25.5" hidden="false" customHeight="true" outlineLevel="0" collapsed="false">
      <c r="A6" s="7"/>
      <c r="B6" s="11" t="str">
        <f aca="false">IF(A6="","",IFERROR(INDEX('01_KI-Inventar'!$B$6:$B$65,MATCH(A6,'01_KI-Inventar'!$A$6:$A$65,0)),""))</f>
        <v/>
      </c>
      <c r="C6" s="7"/>
      <c r="D6" s="7"/>
      <c r="E6" s="7"/>
      <c r="F6" s="7"/>
      <c r="G6" s="7"/>
      <c r="H6" s="7"/>
      <c r="I6" s="11" t="str">
        <f aca="false">IF(A6="","",IF(OR(C6="Ja",E6="Ja",F6="Ja",G6="Ja",H6="Ja"),IF(D6="Ja","Anbieter und Betreiber","Anbieter"),IF(D6="Ja","Betreiber",IF(COUNTA(C6:H6)=6,"keine Anbieter-/Betreiberrolle","noch offen"))))</f>
        <v/>
      </c>
      <c r="J6" s="11" t="str">
        <f aca="false">IF(A6="","",IF(OR(E6="Ja",F6="Ja",G6="Ja",H6="Ja"),IF(D6="Ja","Rollenwechsel nach Art. 25 — Anbieterpflichten (Art. 16) UND Betreiberpflichten (Art. 26)","Rollenwechsel nach Art. 25 — volle Anbieterpflichten nach Art. 16"),IF(AND(C6="Ja",D6="Ja"),"Anbieterpflichten (Art. 16) UND Betreiberpflichten (Art. 26)",IF(C6="Ja","Anbieterpflichten nach Art. 16",IF(D6="Ja","Betreiberpflichten nach Art. 26",IF(COUNTA(C6:H6)=6,"keine Anbieter-/Betreiberrolle — Einführer-/Händlerpflichten (Art. 23, 24) prüfen","noch offen — bitte alle Fragen beantworten"))))))</f>
        <v/>
      </c>
      <c r="K6" s="12"/>
      <c r="L6" s="10"/>
    </row>
    <row r="7" customFormat="false" ht="25.5" hidden="false" customHeight="true" outlineLevel="0" collapsed="false">
      <c r="A7" s="7"/>
      <c r="B7" s="11" t="str">
        <f aca="false">IF(A7="","",IFERROR(INDEX('01_KI-Inventar'!$B$6:$B$65,MATCH(A7,'01_KI-Inventar'!$A$6:$A$65,0)),""))</f>
        <v/>
      </c>
      <c r="C7" s="7"/>
      <c r="D7" s="7"/>
      <c r="E7" s="7"/>
      <c r="F7" s="7"/>
      <c r="G7" s="7"/>
      <c r="H7" s="7"/>
      <c r="I7" s="11" t="str">
        <f aca="false">IF(A7="","",IF(OR(C7="Ja",E7="Ja",F7="Ja",G7="Ja",H7="Ja"),IF(D7="Ja","Anbieter und Betreiber","Anbieter"),IF(D7="Ja","Betreiber",IF(COUNTA(C7:H7)=6,"keine Anbieter-/Betreiberrolle","noch offen"))))</f>
        <v/>
      </c>
      <c r="J7" s="11" t="str">
        <f aca="false">IF(A7="","",IF(OR(E7="Ja",F7="Ja",G7="Ja",H7="Ja"),IF(D7="Ja","Rollenwechsel nach Art. 25 — Anbieterpflichten (Art. 16) UND Betreiberpflichten (Art. 26)","Rollenwechsel nach Art. 25 — volle Anbieterpflichten nach Art. 16"),IF(AND(C7="Ja",D7="Ja"),"Anbieterpflichten (Art. 16) UND Betreiberpflichten (Art. 26)",IF(C7="Ja","Anbieterpflichten nach Art. 16",IF(D7="Ja","Betreiberpflichten nach Art. 26",IF(COUNTA(C7:H7)=6,"keine Anbieter-/Betreiberrolle — Einführer-/Händlerpflichten (Art. 23, 24) prüfen","noch offen — bitte alle Fragen beantworten"))))))</f>
        <v/>
      </c>
      <c r="K7" s="12"/>
      <c r="L7" s="10"/>
    </row>
    <row r="8" customFormat="false" ht="25.5" hidden="false" customHeight="true" outlineLevel="0" collapsed="false">
      <c r="A8" s="7"/>
      <c r="B8" s="11" t="str">
        <f aca="false">IF(A8="","",IFERROR(INDEX('01_KI-Inventar'!$B$6:$B$65,MATCH(A8,'01_KI-Inventar'!$A$6:$A$65,0)),""))</f>
        <v/>
      </c>
      <c r="C8" s="7"/>
      <c r="D8" s="7"/>
      <c r="E8" s="7"/>
      <c r="F8" s="7"/>
      <c r="G8" s="7"/>
      <c r="H8" s="7"/>
      <c r="I8" s="11" t="str">
        <f aca="false">IF(A8="","",IF(OR(C8="Ja",E8="Ja",F8="Ja",G8="Ja",H8="Ja"),IF(D8="Ja","Anbieter und Betreiber","Anbieter"),IF(D8="Ja","Betreiber",IF(COUNTA(C8:H8)=6,"keine Anbieter-/Betreiberrolle","noch offen"))))</f>
        <v/>
      </c>
      <c r="J8" s="11" t="str">
        <f aca="false">IF(A8="","",IF(OR(E8="Ja",F8="Ja",G8="Ja",H8="Ja"),IF(D8="Ja","Rollenwechsel nach Art. 25 — Anbieterpflichten (Art. 16) UND Betreiberpflichten (Art. 26)","Rollenwechsel nach Art. 25 — volle Anbieterpflichten nach Art. 16"),IF(AND(C8="Ja",D8="Ja"),"Anbieterpflichten (Art. 16) UND Betreiberpflichten (Art. 26)",IF(C8="Ja","Anbieterpflichten nach Art. 16",IF(D8="Ja","Betreiberpflichten nach Art. 26",IF(COUNTA(C8:H8)=6,"keine Anbieter-/Betreiberrolle — Einführer-/Händlerpflichten (Art. 23, 24) prüfen","noch offen — bitte alle Fragen beantworten"))))))</f>
        <v/>
      </c>
      <c r="K8" s="12"/>
      <c r="L8" s="10"/>
    </row>
    <row r="9" customFormat="false" ht="25.5" hidden="false" customHeight="true" outlineLevel="0" collapsed="false">
      <c r="A9" s="7"/>
      <c r="B9" s="11" t="str">
        <f aca="false">IF(A9="","",IFERROR(INDEX('01_KI-Inventar'!$B$6:$B$65,MATCH(A9,'01_KI-Inventar'!$A$6:$A$65,0)),""))</f>
        <v/>
      </c>
      <c r="C9" s="7"/>
      <c r="D9" s="7"/>
      <c r="E9" s="7"/>
      <c r="F9" s="7"/>
      <c r="G9" s="7"/>
      <c r="H9" s="7"/>
      <c r="I9" s="11" t="str">
        <f aca="false">IF(A9="","",IF(OR(C9="Ja",E9="Ja",F9="Ja",G9="Ja",H9="Ja"),IF(D9="Ja","Anbieter und Betreiber","Anbieter"),IF(D9="Ja","Betreiber",IF(COUNTA(C9:H9)=6,"keine Anbieter-/Betreiberrolle","noch offen"))))</f>
        <v/>
      </c>
      <c r="J9" s="11" t="str">
        <f aca="false">IF(A9="","",IF(OR(E9="Ja",F9="Ja",G9="Ja",H9="Ja"),IF(D9="Ja","Rollenwechsel nach Art. 25 — Anbieterpflichten (Art. 16) UND Betreiberpflichten (Art. 26)","Rollenwechsel nach Art. 25 — volle Anbieterpflichten nach Art. 16"),IF(AND(C9="Ja",D9="Ja"),"Anbieterpflichten (Art. 16) UND Betreiberpflichten (Art. 26)",IF(C9="Ja","Anbieterpflichten nach Art. 16",IF(D9="Ja","Betreiberpflichten nach Art. 26",IF(COUNTA(C9:H9)=6,"keine Anbieter-/Betreiberrolle — Einführer-/Händlerpflichten (Art. 23, 24) prüfen","noch offen — bitte alle Fragen beantworten"))))))</f>
        <v/>
      </c>
      <c r="K9" s="12"/>
      <c r="L9" s="10"/>
    </row>
    <row r="10" customFormat="false" ht="25.5" hidden="false" customHeight="true" outlineLevel="0" collapsed="false">
      <c r="A10" s="7"/>
      <c r="B10" s="11" t="str">
        <f aca="false">IF(A10="","",IFERROR(INDEX('01_KI-Inventar'!$B$6:$B$65,MATCH(A10,'01_KI-Inventar'!$A$6:$A$65,0)),""))</f>
        <v/>
      </c>
      <c r="C10" s="7"/>
      <c r="D10" s="7"/>
      <c r="E10" s="7"/>
      <c r="F10" s="7"/>
      <c r="G10" s="7"/>
      <c r="H10" s="7"/>
      <c r="I10" s="11" t="str">
        <f aca="false">IF(A10="","",IF(OR(C10="Ja",E10="Ja",F10="Ja",G10="Ja",H10="Ja"),IF(D10="Ja","Anbieter und Betreiber","Anbieter"),IF(D10="Ja","Betreiber",IF(COUNTA(C10:H10)=6,"keine Anbieter-/Betreiberrolle","noch offen"))))</f>
        <v/>
      </c>
      <c r="J10" s="11" t="str">
        <f aca="false">IF(A10="","",IF(OR(E10="Ja",F10="Ja",G10="Ja",H10="Ja"),IF(D10="Ja","Rollenwechsel nach Art. 25 — Anbieterpflichten (Art. 16) UND Betreiberpflichten (Art. 26)","Rollenwechsel nach Art. 25 — volle Anbieterpflichten nach Art. 16"),IF(AND(C10="Ja",D10="Ja"),"Anbieterpflichten (Art. 16) UND Betreiberpflichten (Art. 26)",IF(C10="Ja","Anbieterpflichten nach Art. 16",IF(D10="Ja","Betreiberpflichten nach Art. 26",IF(COUNTA(C10:H10)=6,"keine Anbieter-/Betreiberrolle — Einführer-/Händlerpflichten (Art. 23, 24) prüfen","noch offen — bitte alle Fragen beantworten"))))))</f>
        <v/>
      </c>
      <c r="K10" s="12"/>
      <c r="L10" s="10"/>
    </row>
    <row r="11" customFormat="false" ht="25.5" hidden="false" customHeight="true" outlineLevel="0" collapsed="false">
      <c r="A11" s="7"/>
      <c r="B11" s="11" t="str">
        <f aca="false">IF(A11="","",IFERROR(INDEX('01_KI-Inventar'!$B$6:$B$65,MATCH(A11,'01_KI-Inventar'!$A$6:$A$65,0)),""))</f>
        <v/>
      </c>
      <c r="C11" s="7"/>
      <c r="D11" s="7"/>
      <c r="E11" s="7"/>
      <c r="F11" s="7"/>
      <c r="G11" s="7"/>
      <c r="H11" s="7"/>
      <c r="I11" s="11" t="str">
        <f aca="false">IF(A11="","",IF(OR(C11="Ja",E11="Ja",F11="Ja",G11="Ja",H11="Ja"),IF(D11="Ja","Anbieter und Betreiber","Anbieter"),IF(D11="Ja","Betreiber",IF(COUNTA(C11:H11)=6,"keine Anbieter-/Betreiberrolle","noch offen"))))</f>
        <v/>
      </c>
      <c r="J11" s="11" t="str">
        <f aca="false">IF(A11="","",IF(OR(E11="Ja",F11="Ja",G11="Ja",H11="Ja"),IF(D11="Ja","Rollenwechsel nach Art. 25 — Anbieterpflichten (Art. 16) UND Betreiberpflichten (Art. 26)","Rollenwechsel nach Art. 25 — volle Anbieterpflichten nach Art. 16"),IF(AND(C11="Ja",D11="Ja"),"Anbieterpflichten (Art. 16) UND Betreiberpflichten (Art. 26)",IF(C11="Ja","Anbieterpflichten nach Art. 16",IF(D11="Ja","Betreiberpflichten nach Art. 26",IF(COUNTA(C11:H11)=6,"keine Anbieter-/Betreiberrolle — Einführer-/Händlerpflichten (Art. 23, 24) prüfen","noch offen — bitte alle Fragen beantworten"))))))</f>
        <v/>
      </c>
      <c r="K11" s="12"/>
      <c r="L11" s="10"/>
    </row>
    <row r="12" customFormat="false" ht="25.5" hidden="false" customHeight="true" outlineLevel="0" collapsed="false">
      <c r="A12" s="7"/>
      <c r="B12" s="11" t="str">
        <f aca="false">IF(A12="","",IFERROR(INDEX('01_KI-Inventar'!$B$6:$B$65,MATCH(A12,'01_KI-Inventar'!$A$6:$A$65,0)),""))</f>
        <v/>
      </c>
      <c r="C12" s="7"/>
      <c r="D12" s="7"/>
      <c r="E12" s="7"/>
      <c r="F12" s="7"/>
      <c r="G12" s="7"/>
      <c r="H12" s="7"/>
      <c r="I12" s="11" t="str">
        <f aca="false">IF(A12="","",IF(OR(C12="Ja",E12="Ja",F12="Ja",G12="Ja",H12="Ja"),IF(D12="Ja","Anbieter und Betreiber","Anbieter"),IF(D12="Ja","Betreiber",IF(COUNTA(C12:H12)=6,"keine Anbieter-/Betreiberrolle","noch offen"))))</f>
        <v/>
      </c>
      <c r="J12" s="11" t="str">
        <f aca="false">IF(A12="","",IF(OR(E12="Ja",F12="Ja",G12="Ja",H12="Ja"),IF(D12="Ja","Rollenwechsel nach Art. 25 — Anbieterpflichten (Art. 16) UND Betreiberpflichten (Art. 26)","Rollenwechsel nach Art. 25 — volle Anbieterpflichten nach Art. 16"),IF(AND(C12="Ja",D12="Ja"),"Anbieterpflichten (Art. 16) UND Betreiberpflichten (Art. 26)",IF(C12="Ja","Anbieterpflichten nach Art. 16",IF(D12="Ja","Betreiberpflichten nach Art. 26",IF(COUNTA(C12:H12)=6,"keine Anbieter-/Betreiberrolle — Einführer-/Händlerpflichten (Art. 23, 24) prüfen","noch offen — bitte alle Fragen beantworten"))))))</f>
        <v/>
      </c>
      <c r="K12" s="12"/>
      <c r="L12" s="10"/>
    </row>
    <row r="13" customFormat="false" ht="25.5" hidden="false" customHeight="true" outlineLevel="0" collapsed="false">
      <c r="A13" s="7"/>
      <c r="B13" s="11" t="str">
        <f aca="false">IF(A13="","",IFERROR(INDEX('01_KI-Inventar'!$B$6:$B$65,MATCH(A13,'01_KI-Inventar'!$A$6:$A$65,0)),""))</f>
        <v/>
      </c>
      <c r="C13" s="7"/>
      <c r="D13" s="7"/>
      <c r="E13" s="7"/>
      <c r="F13" s="7"/>
      <c r="G13" s="7"/>
      <c r="H13" s="7"/>
      <c r="I13" s="11" t="str">
        <f aca="false">IF(A13="","",IF(OR(C13="Ja",E13="Ja",F13="Ja",G13="Ja",H13="Ja"),IF(D13="Ja","Anbieter und Betreiber","Anbieter"),IF(D13="Ja","Betreiber",IF(COUNTA(C13:H13)=6,"keine Anbieter-/Betreiberrolle","noch offen"))))</f>
        <v/>
      </c>
      <c r="J13" s="11" t="str">
        <f aca="false">IF(A13="","",IF(OR(E13="Ja",F13="Ja",G13="Ja",H13="Ja"),IF(D13="Ja","Rollenwechsel nach Art. 25 — Anbieterpflichten (Art. 16) UND Betreiberpflichten (Art. 26)","Rollenwechsel nach Art. 25 — volle Anbieterpflichten nach Art. 16"),IF(AND(C13="Ja",D13="Ja"),"Anbieterpflichten (Art. 16) UND Betreiberpflichten (Art. 26)",IF(C13="Ja","Anbieterpflichten nach Art. 16",IF(D13="Ja","Betreiberpflichten nach Art. 26",IF(COUNTA(C13:H13)=6,"keine Anbieter-/Betreiberrolle — Einführer-/Händlerpflichten (Art. 23, 24) prüfen","noch offen — bitte alle Fragen beantworten"))))))</f>
        <v/>
      </c>
      <c r="K13" s="12"/>
      <c r="L13" s="10"/>
    </row>
    <row r="14" customFormat="false" ht="25.5" hidden="false" customHeight="true" outlineLevel="0" collapsed="false">
      <c r="A14" s="7"/>
      <c r="B14" s="11" t="str">
        <f aca="false">IF(A14="","",IFERROR(INDEX('01_KI-Inventar'!$B$6:$B$65,MATCH(A14,'01_KI-Inventar'!$A$6:$A$65,0)),""))</f>
        <v/>
      </c>
      <c r="C14" s="7"/>
      <c r="D14" s="7"/>
      <c r="E14" s="7"/>
      <c r="F14" s="7"/>
      <c r="G14" s="7"/>
      <c r="H14" s="7"/>
      <c r="I14" s="11" t="str">
        <f aca="false">IF(A14="","",IF(OR(C14="Ja",E14="Ja",F14="Ja",G14="Ja",H14="Ja"),IF(D14="Ja","Anbieter und Betreiber","Anbieter"),IF(D14="Ja","Betreiber",IF(COUNTA(C14:H14)=6,"keine Anbieter-/Betreiberrolle","noch offen"))))</f>
        <v/>
      </c>
      <c r="J14" s="11" t="str">
        <f aca="false">IF(A14="","",IF(OR(E14="Ja",F14="Ja",G14="Ja",H14="Ja"),IF(D14="Ja","Rollenwechsel nach Art. 25 — Anbieterpflichten (Art. 16) UND Betreiberpflichten (Art. 26)","Rollenwechsel nach Art. 25 — volle Anbieterpflichten nach Art. 16"),IF(AND(C14="Ja",D14="Ja"),"Anbieterpflichten (Art. 16) UND Betreiberpflichten (Art. 26)",IF(C14="Ja","Anbieterpflichten nach Art. 16",IF(D14="Ja","Betreiberpflichten nach Art. 26",IF(COUNTA(C14:H14)=6,"keine Anbieter-/Betreiberrolle — Einführer-/Händlerpflichten (Art. 23, 24) prüfen","noch offen — bitte alle Fragen beantworten"))))))</f>
        <v/>
      </c>
      <c r="K14" s="12"/>
      <c r="L14" s="10"/>
    </row>
    <row r="15" customFormat="false" ht="25.5" hidden="false" customHeight="true" outlineLevel="0" collapsed="false">
      <c r="A15" s="7"/>
      <c r="B15" s="11" t="str">
        <f aca="false">IF(A15="","",IFERROR(INDEX('01_KI-Inventar'!$B$6:$B$65,MATCH(A15,'01_KI-Inventar'!$A$6:$A$65,0)),""))</f>
        <v/>
      </c>
      <c r="C15" s="7"/>
      <c r="D15" s="7"/>
      <c r="E15" s="7"/>
      <c r="F15" s="7"/>
      <c r="G15" s="7"/>
      <c r="H15" s="7"/>
      <c r="I15" s="11" t="str">
        <f aca="false">IF(A15="","",IF(OR(C15="Ja",E15="Ja",F15="Ja",G15="Ja",H15="Ja"),IF(D15="Ja","Anbieter und Betreiber","Anbieter"),IF(D15="Ja","Betreiber",IF(COUNTA(C15:H15)=6,"keine Anbieter-/Betreiberrolle","noch offen"))))</f>
        <v/>
      </c>
      <c r="J15" s="11" t="str">
        <f aca="false">IF(A15="","",IF(OR(E15="Ja",F15="Ja",G15="Ja",H15="Ja"),IF(D15="Ja","Rollenwechsel nach Art. 25 — Anbieterpflichten (Art. 16) UND Betreiberpflichten (Art. 26)","Rollenwechsel nach Art. 25 — volle Anbieterpflichten nach Art. 16"),IF(AND(C15="Ja",D15="Ja"),"Anbieterpflichten (Art. 16) UND Betreiberpflichten (Art. 26)",IF(C15="Ja","Anbieterpflichten nach Art. 16",IF(D15="Ja","Betreiberpflichten nach Art. 26",IF(COUNTA(C15:H15)=6,"keine Anbieter-/Betreiberrolle — Einführer-/Händlerpflichten (Art. 23, 24) prüfen","noch offen — bitte alle Fragen beantworten"))))))</f>
        <v/>
      </c>
      <c r="K15" s="12"/>
      <c r="L15" s="10"/>
    </row>
    <row r="16" customFormat="false" ht="25.5" hidden="false" customHeight="true" outlineLevel="0" collapsed="false">
      <c r="A16" s="7"/>
      <c r="B16" s="11" t="str">
        <f aca="false">IF(A16="","",IFERROR(INDEX('01_KI-Inventar'!$B$6:$B$65,MATCH(A16,'01_KI-Inventar'!$A$6:$A$65,0)),""))</f>
        <v/>
      </c>
      <c r="C16" s="7"/>
      <c r="D16" s="7"/>
      <c r="E16" s="7"/>
      <c r="F16" s="7"/>
      <c r="G16" s="7"/>
      <c r="H16" s="7"/>
      <c r="I16" s="11" t="str">
        <f aca="false">IF(A16="","",IF(OR(C16="Ja",E16="Ja",F16="Ja",G16="Ja",H16="Ja"),IF(D16="Ja","Anbieter und Betreiber","Anbieter"),IF(D16="Ja","Betreiber",IF(COUNTA(C16:H16)=6,"keine Anbieter-/Betreiberrolle","noch offen"))))</f>
        <v/>
      </c>
      <c r="J16" s="11" t="str">
        <f aca="false">IF(A16="","",IF(OR(E16="Ja",F16="Ja",G16="Ja",H16="Ja"),IF(D16="Ja","Rollenwechsel nach Art. 25 — Anbieterpflichten (Art. 16) UND Betreiberpflichten (Art. 26)","Rollenwechsel nach Art. 25 — volle Anbieterpflichten nach Art. 16"),IF(AND(C16="Ja",D16="Ja"),"Anbieterpflichten (Art. 16) UND Betreiberpflichten (Art. 26)",IF(C16="Ja","Anbieterpflichten nach Art. 16",IF(D16="Ja","Betreiberpflichten nach Art. 26",IF(COUNTA(C16:H16)=6,"keine Anbieter-/Betreiberrolle — Einführer-/Händlerpflichten (Art. 23, 24) prüfen","noch offen — bitte alle Fragen beantworten"))))))</f>
        <v/>
      </c>
      <c r="K16" s="12"/>
      <c r="L16" s="10"/>
    </row>
    <row r="17" customFormat="false" ht="25.5" hidden="false" customHeight="true" outlineLevel="0" collapsed="false">
      <c r="A17" s="7"/>
      <c r="B17" s="11" t="str">
        <f aca="false">IF(A17="","",IFERROR(INDEX('01_KI-Inventar'!$B$6:$B$65,MATCH(A17,'01_KI-Inventar'!$A$6:$A$65,0)),""))</f>
        <v/>
      </c>
      <c r="C17" s="7"/>
      <c r="D17" s="7"/>
      <c r="E17" s="7"/>
      <c r="F17" s="7"/>
      <c r="G17" s="7"/>
      <c r="H17" s="7"/>
      <c r="I17" s="11" t="str">
        <f aca="false">IF(A17="","",IF(OR(C17="Ja",E17="Ja",F17="Ja",G17="Ja",H17="Ja"),IF(D17="Ja","Anbieter und Betreiber","Anbieter"),IF(D17="Ja","Betreiber",IF(COUNTA(C17:H17)=6,"keine Anbieter-/Betreiberrolle","noch offen"))))</f>
        <v/>
      </c>
      <c r="J17" s="11" t="str">
        <f aca="false">IF(A17="","",IF(OR(E17="Ja",F17="Ja",G17="Ja",H17="Ja"),IF(D17="Ja","Rollenwechsel nach Art. 25 — Anbieterpflichten (Art. 16) UND Betreiberpflichten (Art. 26)","Rollenwechsel nach Art. 25 — volle Anbieterpflichten nach Art. 16"),IF(AND(C17="Ja",D17="Ja"),"Anbieterpflichten (Art. 16) UND Betreiberpflichten (Art. 26)",IF(C17="Ja","Anbieterpflichten nach Art. 16",IF(D17="Ja","Betreiberpflichten nach Art. 26",IF(COUNTA(C17:H17)=6,"keine Anbieter-/Betreiberrolle — Einführer-/Händlerpflichten (Art. 23, 24) prüfen","noch offen — bitte alle Fragen beantworten"))))))</f>
        <v/>
      </c>
      <c r="K17" s="12"/>
      <c r="L17" s="10"/>
    </row>
    <row r="18" customFormat="false" ht="25.5" hidden="false" customHeight="true" outlineLevel="0" collapsed="false">
      <c r="A18" s="7"/>
      <c r="B18" s="11" t="str">
        <f aca="false">IF(A18="","",IFERROR(INDEX('01_KI-Inventar'!$B$6:$B$65,MATCH(A18,'01_KI-Inventar'!$A$6:$A$65,0)),""))</f>
        <v/>
      </c>
      <c r="C18" s="7"/>
      <c r="D18" s="7"/>
      <c r="E18" s="7"/>
      <c r="F18" s="7"/>
      <c r="G18" s="7"/>
      <c r="H18" s="7"/>
      <c r="I18" s="11" t="str">
        <f aca="false">IF(A18="","",IF(OR(C18="Ja",E18="Ja",F18="Ja",G18="Ja",H18="Ja"),IF(D18="Ja","Anbieter und Betreiber","Anbieter"),IF(D18="Ja","Betreiber",IF(COUNTA(C18:H18)=6,"keine Anbieter-/Betreiberrolle","noch offen"))))</f>
        <v/>
      </c>
      <c r="J18" s="11" t="str">
        <f aca="false">IF(A18="","",IF(OR(E18="Ja",F18="Ja",G18="Ja",H18="Ja"),IF(D18="Ja","Rollenwechsel nach Art. 25 — Anbieterpflichten (Art. 16) UND Betreiberpflichten (Art. 26)","Rollenwechsel nach Art. 25 — volle Anbieterpflichten nach Art. 16"),IF(AND(C18="Ja",D18="Ja"),"Anbieterpflichten (Art. 16) UND Betreiberpflichten (Art. 26)",IF(C18="Ja","Anbieterpflichten nach Art. 16",IF(D18="Ja","Betreiberpflichten nach Art. 26",IF(COUNTA(C18:H18)=6,"keine Anbieter-/Betreiberrolle — Einführer-/Händlerpflichten (Art. 23, 24) prüfen","noch offen — bitte alle Fragen beantworten"))))))</f>
        <v/>
      </c>
      <c r="K18" s="12"/>
      <c r="L18" s="10"/>
    </row>
    <row r="19" customFormat="false" ht="25.5" hidden="false" customHeight="true" outlineLevel="0" collapsed="false">
      <c r="A19" s="7"/>
      <c r="B19" s="11" t="str">
        <f aca="false">IF(A19="","",IFERROR(INDEX('01_KI-Inventar'!$B$6:$B$65,MATCH(A19,'01_KI-Inventar'!$A$6:$A$65,0)),""))</f>
        <v/>
      </c>
      <c r="C19" s="7"/>
      <c r="D19" s="7"/>
      <c r="E19" s="7"/>
      <c r="F19" s="7"/>
      <c r="G19" s="7"/>
      <c r="H19" s="7"/>
      <c r="I19" s="11" t="str">
        <f aca="false">IF(A19="","",IF(OR(C19="Ja",E19="Ja",F19="Ja",G19="Ja",H19="Ja"),IF(D19="Ja","Anbieter und Betreiber","Anbieter"),IF(D19="Ja","Betreiber",IF(COUNTA(C19:H19)=6,"keine Anbieter-/Betreiberrolle","noch offen"))))</f>
        <v/>
      </c>
      <c r="J19" s="11" t="str">
        <f aca="false">IF(A19="","",IF(OR(E19="Ja",F19="Ja",G19="Ja",H19="Ja"),IF(D19="Ja","Rollenwechsel nach Art. 25 — Anbieterpflichten (Art. 16) UND Betreiberpflichten (Art. 26)","Rollenwechsel nach Art. 25 — volle Anbieterpflichten nach Art. 16"),IF(AND(C19="Ja",D19="Ja"),"Anbieterpflichten (Art. 16) UND Betreiberpflichten (Art. 26)",IF(C19="Ja","Anbieterpflichten nach Art. 16",IF(D19="Ja","Betreiberpflichten nach Art. 26",IF(COUNTA(C19:H19)=6,"keine Anbieter-/Betreiberrolle — Einführer-/Händlerpflichten (Art. 23, 24) prüfen","noch offen — bitte alle Fragen beantworten"))))))</f>
        <v/>
      </c>
      <c r="K19" s="12"/>
      <c r="L19" s="10"/>
    </row>
    <row r="20" customFormat="false" ht="25.5" hidden="false" customHeight="true" outlineLevel="0" collapsed="false">
      <c r="A20" s="7"/>
      <c r="B20" s="11" t="str">
        <f aca="false">IF(A20="","",IFERROR(INDEX('01_KI-Inventar'!$B$6:$B$65,MATCH(A20,'01_KI-Inventar'!$A$6:$A$65,0)),""))</f>
        <v/>
      </c>
      <c r="C20" s="7"/>
      <c r="D20" s="7"/>
      <c r="E20" s="7"/>
      <c r="F20" s="7"/>
      <c r="G20" s="7"/>
      <c r="H20" s="7"/>
      <c r="I20" s="11" t="str">
        <f aca="false">IF(A20="","",IF(OR(C20="Ja",E20="Ja",F20="Ja",G20="Ja",H20="Ja"),IF(D20="Ja","Anbieter und Betreiber","Anbieter"),IF(D20="Ja","Betreiber",IF(COUNTA(C20:H20)=6,"keine Anbieter-/Betreiberrolle","noch offen"))))</f>
        <v/>
      </c>
      <c r="J20" s="11" t="str">
        <f aca="false">IF(A20="","",IF(OR(E20="Ja",F20="Ja",G20="Ja",H20="Ja"),IF(D20="Ja","Rollenwechsel nach Art. 25 — Anbieterpflichten (Art. 16) UND Betreiberpflichten (Art. 26)","Rollenwechsel nach Art. 25 — volle Anbieterpflichten nach Art. 16"),IF(AND(C20="Ja",D20="Ja"),"Anbieterpflichten (Art. 16) UND Betreiberpflichten (Art. 26)",IF(C20="Ja","Anbieterpflichten nach Art. 16",IF(D20="Ja","Betreiberpflichten nach Art. 26",IF(COUNTA(C20:H20)=6,"keine Anbieter-/Betreiberrolle — Einführer-/Händlerpflichten (Art. 23, 24) prüfen","noch offen — bitte alle Fragen beantworten"))))))</f>
        <v/>
      </c>
      <c r="K20" s="12"/>
      <c r="L20" s="10"/>
    </row>
    <row r="21" customFormat="false" ht="25.5" hidden="false" customHeight="true" outlineLevel="0" collapsed="false">
      <c r="A21" s="7"/>
      <c r="B21" s="11" t="str">
        <f aca="false">IF(A21="","",IFERROR(INDEX('01_KI-Inventar'!$B$6:$B$65,MATCH(A21,'01_KI-Inventar'!$A$6:$A$65,0)),""))</f>
        <v/>
      </c>
      <c r="C21" s="7"/>
      <c r="D21" s="7"/>
      <c r="E21" s="7"/>
      <c r="F21" s="7"/>
      <c r="G21" s="7"/>
      <c r="H21" s="7"/>
      <c r="I21" s="11" t="str">
        <f aca="false">IF(A21="","",IF(OR(C21="Ja",E21="Ja",F21="Ja",G21="Ja",H21="Ja"),IF(D21="Ja","Anbieter und Betreiber","Anbieter"),IF(D21="Ja","Betreiber",IF(COUNTA(C21:H21)=6,"keine Anbieter-/Betreiberrolle","noch offen"))))</f>
        <v/>
      </c>
      <c r="J21" s="11" t="str">
        <f aca="false">IF(A21="","",IF(OR(E21="Ja",F21="Ja",G21="Ja",H21="Ja"),IF(D21="Ja","Rollenwechsel nach Art. 25 — Anbieterpflichten (Art. 16) UND Betreiberpflichten (Art. 26)","Rollenwechsel nach Art. 25 — volle Anbieterpflichten nach Art. 16"),IF(AND(C21="Ja",D21="Ja"),"Anbieterpflichten (Art. 16) UND Betreiberpflichten (Art. 26)",IF(C21="Ja","Anbieterpflichten nach Art. 16",IF(D21="Ja","Betreiberpflichten nach Art. 26",IF(COUNTA(C21:H21)=6,"keine Anbieter-/Betreiberrolle — Einführer-/Händlerpflichten (Art. 23, 24) prüfen","noch offen — bitte alle Fragen beantworten"))))))</f>
        <v/>
      </c>
      <c r="K21" s="12"/>
      <c r="L21" s="10"/>
    </row>
    <row r="22" customFormat="false" ht="25.5" hidden="false" customHeight="true" outlineLevel="0" collapsed="false">
      <c r="A22" s="7"/>
      <c r="B22" s="11" t="str">
        <f aca="false">IF(A22="","",IFERROR(INDEX('01_KI-Inventar'!$B$6:$B$65,MATCH(A22,'01_KI-Inventar'!$A$6:$A$65,0)),""))</f>
        <v/>
      </c>
      <c r="C22" s="7"/>
      <c r="D22" s="7"/>
      <c r="E22" s="7"/>
      <c r="F22" s="7"/>
      <c r="G22" s="7"/>
      <c r="H22" s="7"/>
      <c r="I22" s="11" t="str">
        <f aca="false">IF(A22="","",IF(OR(C22="Ja",E22="Ja",F22="Ja",G22="Ja",H22="Ja"),IF(D22="Ja","Anbieter und Betreiber","Anbieter"),IF(D22="Ja","Betreiber",IF(COUNTA(C22:H22)=6,"keine Anbieter-/Betreiberrolle","noch offen"))))</f>
        <v/>
      </c>
      <c r="J22" s="11" t="str">
        <f aca="false">IF(A22="","",IF(OR(E22="Ja",F22="Ja",G22="Ja",H22="Ja"),IF(D22="Ja","Rollenwechsel nach Art. 25 — Anbieterpflichten (Art. 16) UND Betreiberpflichten (Art. 26)","Rollenwechsel nach Art. 25 — volle Anbieterpflichten nach Art. 16"),IF(AND(C22="Ja",D22="Ja"),"Anbieterpflichten (Art. 16) UND Betreiberpflichten (Art. 26)",IF(C22="Ja","Anbieterpflichten nach Art. 16",IF(D22="Ja","Betreiberpflichten nach Art. 26",IF(COUNTA(C22:H22)=6,"keine Anbieter-/Betreiberrolle — Einführer-/Händlerpflichten (Art. 23, 24) prüfen","noch offen — bitte alle Fragen beantworten"))))))</f>
        <v/>
      </c>
      <c r="K22" s="12"/>
      <c r="L22" s="10"/>
    </row>
    <row r="23" customFormat="false" ht="25.5" hidden="false" customHeight="true" outlineLevel="0" collapsed="false">
      <c r="A23" s="7"/>
      <c r="B23" s="11" t="str">
        <f aca="false">IF(A23="","",IFERROR(INDEX('01_KI-Inventar'!$B$6:$B$65,MATCH(A23,'01_KI-Inventar'!$A$6:$A$65,0)),""))</f>
        <v/>
      </c>
      <c r="C23" s="7"/>
      <c r="D23" s="7"/>
      <c r="E23" s="7"/>
      <c r="F23" s="7"/>
      <c r="G23" s="7"/>
      <c r="H23" s="7"/>
      <c r="I23" s="11" t="str">
        <f aca="false">IF(A23="","",IF(OR(C23="Ja",E23="Ja",F23="Ja",G23="Ja",H23="Ja"),IF(D23="Ja","Anbieter und Betreiber","Anbieter"),IF(D23="Ja","Betreiber",IF(COUNTA(C23:H23)=6,"keine Anbieter-/Betreiberrolle","noch offen"))))</f>
        <v/>
      </c>
      <c r="J23" s="11" t="str">
        <f aca="false">IF(A23="","",IF(OR(E23="Ja",F23="Ja",G23="Ja",H23="Ja"),IF(D23="Ja","Rollenwechsel nach Art. 25 — Anbieterpflichten (Art. 16) UND Betreiberpflichten (Art. 26)","Rollenwechsel nach Art. 25 — volle Anbieterpflichten nach Art. 16"),IF(AND(C23="Ja",D23="Ja"),"Anbieterpflichten (Art. 16) UND Betreiberpflichten (Art. 26)",IF(C23="Ja","Anbieterpflichten nach Art. 16",IF(D23="Ja","Betreiberpflichten nach Art. 26",IF(COUNTA(C23:H23)=6,"keine Anbieter-/Betreiberrolle — Einführer-/Händlerpflichten (Art. 23, 24) prüfen","noch offen — bitte alle Fragen beantworten"))))))</f>
        <v/>
      </c>
      <c r="K23" s="12"/>
      <c r="L23" s="10"/>
    </row>
    <row r="24" customFormat="false" ht="25.5" hidden="false" customHeight="true" outlineLevel="0" collapsed="false">
      <c r="A24" s="7"/>
      <c r="B24" s="11" t="str">
        <f aca="false">IF(A24="","",IFERROR(INDEX('01_KI-Inventar'!$B$6:$B$65,MATCH(A24,'01_KI-Inventar'!$A$6:$A$65,0)),""))</f>
        <v/>
      </c>
      <c r="C24" s="7"/>
      <c r="D24" s="7"/>
      <c r="E24" s="7"/>
      <c r="F24" s="7"/>
      <c r="G24" s="7"/>
      <c r="H24" s="7"/>
      <c r="I24" s="11" t="str">
        <f aca="false">IF(A24="","",IF(OR(C24="Ja",E24="Ja",F24="Ja",G24="Ja",H24="Ja"),IF(D24="Ja","Anbieter und Betreiber","Anbieter"),IF(D24="Ja","Betreiber",IF(COUNTA(C24:H24)=6,"keine Anbieter-/Betreiberrolle","noch offen"))))</f>
        <v/>
      </c>
      <c r="J24" s="11" t="str">
        <f aca="false">IF(A24="","",IF(OR(E24="Ja",F24="Ja",G24="Ja",H24="Ja"),IF(D24="Ja","Rollenwechsel nach Art. 25 — Anbieterpflichten (Art. 16) UND Betreiberpflichten (Art. 26)","Rollenwechsel nach Art. 25 — volle Anbieterpflichten nach Art. 16"),IF(AND(C24="Ja",D24="Ja"),"Anbieterpflichten (Art. 16) UND Betreiberpflichten (Art. 26)",IF(C24="Ja","Anbieterpflichten nach Art. 16",IF(D24="Ja","Betreiberpflichten nach Art. 26",IF(COUNTA(C24:H24)=6,"keine Anbieter-/Betreiberrolle — Einführer-/Händlerpflichten (Art. 23, 24) prüfen","noch offen — bitte alle Fragen beantworten"))))))</f>
        <v/>
      </c>
      <c r="K24" s="12"/>
      <c r="L24" s="10"/>
    </row>
    <row r="25" customFormat="false" ht="25.5" hidden="false" customHeight="true" outlineLevel="0" collapsed="false">
      <c r="A25" s="7"/>
      <c r="B25" s="11" t="str">
        <f aca="false">IF(A25="","",IFERROR(INDEX('01_KI-Inventar'!$B$6:$B$65,MATCH(A25,'01_KI-Inventar'!$A$6:$A$65,0)),""))</f>
        <v/>
      </c>
      <c r="C25" s="7"/>
      <c r="D25" s="7"/>
      <c r="E25" s="7"/>
      <c r="F25" s="7"/>
      <c r="G25" s="7"/>
      <c r="H25" s="7"/>
      <c r="I25" s="11" t="str">
        <f aca="false">IF(A25="","",IF(OR(C25="Ja",E25="Ja",F25="Ja",G25="Ja",H25="Ja"),IF(D25="Ja","Anbieter und Betreiber","Anbieter"),IF(D25="Ja","Betreiber",IF(COUNTA(C25:H25)=6,"keine Anbieter-/Betreiberrolle","noch offen"))))</f>
        <v/>
      </c>
      <c r="J25" s="11" t="str">
        <f aca="false">IF(A25="","",IF(OR(E25="Ja",F25="Ja",G25="Ja",H25="Ja"),IF(D25="Ja","Rollenwechsel nach Art. 25 — Anbieterpflichten (Art. 16) UND Betreiberpflichten (Art. 26)","Rollenwechsel nach Art. 25 — volle Anbieterpflichten nach Art. 16"),IF(AND(C25="Ja",D25="Ja"),"Anbieterpflichten (Art. 16) UND Betreiberpflichten (Art. 26)",IF(C25="Ja","Anbieterpflichten nach Art. 16",IF(D25="Ja","Betreiberpflichten nach Art. 26",IF(COUNTA(C25:H25)=6,"keine Anbieter-/Betreiberrolle — Einführer-/Händlerpflichten (Art. 23, 24) prüfen","noch offen — bitte alle Fragen beantworten"))))))</f>
        <v/>
      </c>
      <c r="K25" s="12"/>
      <c r="L25" s="10"/>
    </row>
    <row r="26" customFormat="false" ht="25.5" hidden="false" customHeight="true" outlineLevel="0" collapsed="false">
      <c r="A26" s="7"/>
      <c r="B26" s="11" t="str">
        <f aca="false">IF(A26="","",IFERROR(INDEX('01_KI-Inventar'!$B$6:$B$65,MATCH(A26,'01_KI-Inventar'!$A$6:$A$65,0)),""))</f>
        <v/>
      </c>
      <c r="C26" s="7"/>
      <c r="D26" s="7"/>
      <c r="E26" s="7"/>
      <c r="F26" s="7"/>
      <c r="G26" s="7"/>
      <c r="H26" s="7"/>
      <c r="I26" s="11" t="str">
        <f aca="false">IF(A26="","",IF(OR(C26="Ja",E26="Ja",F26="Ja",G26="Ja",H26="Ja"),IF(D26="Ja","Anbieter und Betreiber","Anbieter"),IF(D26="Ja","Betreiber",IF(COUNTA(C26:H26)=6,"keine Anbieter-/Betreiberrolle","noch offen"))))</f>
        <v/>
      </c>
      <c r="J26" s="11" t="str">
        <f aca="false">IF(A26="","",IF(OR(E26="Ja",F26="Ja",G26="Ja",H26="Ja"),IF(D26="Ja","Rollenwechsel nach Art. 25 — Anbieterpflichten (Art. 16) UND Betreiberpflichten (Art. 26)","Rollenwechsel nach Art. 25 — volle Anbieterpflichten nach Art. 16"),IF(AND(C26="Ja",D26="Ja"),"Anbieterpflichten (Art. 16) UND Betreiberpflichten (Art. 26)",IF(C26="Ja","Anbieterpflichten nach Art. 16",IF(D26="Ja","Betreiberpflichten nach Art. 26",IF(COUNTA(C26:H26)=6,"keine Anbieter-/Betreiberrolle — Einführer-/Händlerpflichten (Art. 23, 24) prüfen","noch offen — bitte alle Fragen beantworten"))))))</f>
        <v/>
      </c>
      <c r="K26" s="12"/>
      <c r="L26" s="10"/>
    </row>
    <row r="27" customFormat="false" ht="25.5" hidden="false" customHeight="true" outlineLevel="0" collapsed="false">
      <c r="A27" s="7"/>
      <c r="B27" s="11" t="str">
        <f aca="false">IF(A27="","",IFERROR(INDEX('01_KI-Inventar'!$B$6:$B$65,MATCH(A27,'01_KI-Inventar'!$A$6:$A$65,0)),""))</f>
        <v/>
      </c>
      <c r="C27" s="7"/>
      <c r="D27" s="7"/>
      <c r="E27" s="7"/>
      <c r="F27" s="7"/>
      <c r="G27" s="7"/>
      <c r="H27" s="7"/>
      <c r="I27" s="11" t="str">
        <f aca="false">IF(A27="","",IF(OR(C27="Ja",E27="Ja",F27="Ja",G27="Ja",H27="Ja"),IF(D27="Ja","Anbieter und Betreiber","Anbieter"),IF(D27="Ja","Betreiber",IF(COUNTA(C27:H27)=6,"keine Anbieter-/Betreiberrolle","noch offen"))))</f>
        <v/>
      </c>
      <c r="J27" s="11" t="str">
        <f aca="false">IF(A27="","",IF(OR(E27="Ja",F27="Ja",G27="Ja",H27="Ja"),IF(D27="Ja","Rollenwechsel nach Art. 25 — Anbieterpflichten (Art. 16) UND Betreiberpflichten (Art. 26)","Rollenwechsel nach Art. 25 — volle Anbieterpflichten nach Art. 16"),IF(AND(C27="Ja",D27="Ja"),"Anbieterpflichten (Art. 16) UND Betreiberpflichten (Art. 26)",IF(C27="Ja","Anbieterpflichten nach Art. 16",IF(D27="Ja","Betreiberpflichten nach Art. 26",IF(COUNTA(C27:H27)=6,"keine Anbieter-/Betreiberrolle — Einführer-/Händlerpflichten (Art. 23, 24) prüfen","noch offen — bitte alle Fragen beantworten"))))))</f>
        <v/>
      </c>
      <c r="K27" s="12"/>
      <c r="L27" s="10"/>
    </row>
    <row r="28" customFormat="false" ht="25.5" hidden="false" customHeight="true" outlineLevel="0" collapsed="false">
      <c r="A28" s="7"/>
      <c r="B28" s="11" t="str">
        <f aca="false">IF(A28="","",IFERROR(INDEX('01_KI-Inventar'!$B$6:$B$65,MATCH(A28,'01_KI-Inventar'!$A$6:$A$65,0)),""))</f>
        <v/>
      </c>
      <c r="C28" s="7"/>
      <c r="D28" s="7"/>
      <c r="E28" s="7"/>
      <c r="F28" s="7"/>
      <c r="G28" s="7"/>
      <c r="H28" s="7"/>
      <c r="I28" s="11" t="str">
        <f aca="false">IF(A28="","",IF(OR(C28="Ja",E28="Ja",F28="Ja",G28="Ja",H28="Ja"),IF(D28="Ja","Anbieter und Betreiber","Anbieter"),IF(D28="Ja","Betreiber",IF(COUNTA(C28:H28)=6,"keine Anbieter-/Betreiberrolle","noch offen"))))</f>
        <v/>
      </c>
      <c r="J28" s="11" t="str">
        <f aca="false">IF(A28="","",IF(OR(E28="Ja",F28="Ja",G28="Ja",H28="Ja"),IF(D28="Ja","Rollenwechsel nach Art. 25 — Anbieterpflichten (Art. 16) UND Betreiberpflichten (Art. 26)","Rollenwechsel nach Art. 25 — volle Anbieterpflichten nach Art. 16"),IF(AND(C28="Ja",D28="Ja"),"Anbieterpflichten (Art. 16) UND Betreiberpflichten (Art. 26)",IF(C28="Ja","Anbieterpflichten nach Art. 16",IF(D28="Ja","Betreiberpflichten nach Art. 26",IF(COUNTA(C28:H28)=6,"keine Anbieter-/Betreiberrolle — Einführer-/Händlerpflichten (Art. 23, 24) prüfen","noch offen — bitte alle Fragen beantworten"))))))</f>
        <v/>
      </c>
      <c r="K28" s="12"/>
      <c r="L28" s="10"/>
    </row>
    <row r="29" customFormat="false" ht="25.5" hidden="false" customHeight="true" outlineLevel="0" collapsed="false">
      <c r="A29" s="7"/>
      <c r="B29" s="11" t="str">
        <f aca="false">IF(A29="","",IFERROR(INDEX('01_KI-Inventar'!$B$6:$B$65,MATCH(A29,'01_KI-Inventar'!$A$6:$A$65,0)),""))</f>
        <v/>
      </c>
      <c r="C29" s="7"/>
      <c r="D29" s="7"/>
      <c r="E29" s="7"/>
      <c r="F29" s="7"/>
      <c r="G29" s="7"/>
      <c r="H29" s="7"/>
      <c r="I29" s="11" t="str">
        <f aca="false">IF(A29="","",IF(OR(C29="Ja",E29="Ja",F29="Ja",G29="Ja",H29="Ja"),IF(D29="Ja","Anbieter und Betreiber","Anbieter"),IF(D29="Ja","Betreiber",IF(COUNTA(C29:H29)=6,"keine Anbieter-/Betreiberrolle","noch offen"))))</f>
        <v/>
      </c>
      <c r="J29" s="11" t="str">
        <f aca="false">IF(A29="","",IF(OR(E29="Ja",F29="Ja",G29="Ja",H29="Ja"),IF(D29="Ja","Rollenwechsel nach Art. 25 — Anbieterpflichten (Art. 16) UND Betreiberpflichten (Art. 26)","Rollenwechsel nach Art. 25 — volle Anbieterpflichten nach Art. 16"),IF(AND(C29="Ja",D29="Ja"),"Anbieterpflichten (Art. 16) UND Betreiberpflichten (Art. 26)",IF(C29="Ja","Anbieterpflichten nach Art. 16",IF(D29="Ja","Betreiberpflichten nach Art. 26",IF(COUNTA(C29:H29)=6,"keine Anbieter-/Betreiberrolle — Einführer-/Händlerpflichten (Art. 23, 24) prüfen","noch offen — bitte alle Fragen beantworten"))))))</f>
        <v/>
      </c>
      <c r="K29" s="12"/>
      <c r="L29" s="10"/>
    </row>
    <row r="30" customFormat="false" ht="25.5" hidden="false" customHeight="true" outlineLevel="0" collapsed="false">
      <c r="A30" s="7"/>
      <c r="B30" s="11" t="str">
        <f aca="false">IF(A30="","",IFERROR(INDEX('01_KI-Inventar'!$B$6:$B$65,MATCH(A30,'01_KI-Inventar'!$A$6:$A$65,0)),""))</f>
        <v/>
      </c>
      <c r="C30" s="7"/>
      <c r="D30" s="7"/>
      <c r="E30" s="7"/>
      <c r="F30" s="7"/>
      <c r="G30" s="7"/>
      <c r="H30" s="7"/>
      <c r="I30" s="11" t="str">
        <f aca="false">IF(A30="","",IF(OR(C30="Ja",E30="Ja",F30="Ja",G30="Ja",H30="Ja"),IF(D30="Ja","Anbieter und Betreiber","Anbieter"),IF(D30="Ja","Betreiber",IF(COUNTA(C30:H30)=6,"keine Anbieter-/Betreiberrolle","noch offen"))))</f>
        <v/>
      </c>
      <c r="J30" s="11" t="str">
        <f aca="false">IF(A30="","",IF(OR(E30="Ja",F30="Ja",G30="Ja",H30="Ja"),IF(D30="Ja","Rollenwechsel nach Art. 25 — Anbieterpflichten (Art. 16) UND Betreiberpflichten (Art. 26)","Rollenwechsel nach Art. 25 — volle Anbieterpflichten nach Art. 16"),IF(AND(C30="Ja",D30="Ja"),"Anbieterpflichten (Art. 16) UND Betreiberpflichten (Art. 26)",IF(C30="Ja","Anbieterpflichten nach Art. 16",IF(D30="Ja","Betreiberpflichten nach Art. 26",IF(COUNTA(C30:H30)=6,"keine Anbieter-/Betreiberrolle — Einführer-/Händlerpflichten (Art. 23, 24) prüfen","noch offen — bitte alle Fragen beantworten"))))))</f>
        <v/>
      </c>
      <c r="K30" s="12"/>
      <c r="L30" s="10"/>
    </row>
    <row r="31" customFormat="false" ht="25.5" hidden="false" customHeight="true" outlineLevel="0" collapsed="false">
      <c r="A31" s="7"/>
      <c r="B31" s="11" t="str">
        <f aca="false">IF(A31="","",IFERROR(INDEX('01_KI-Inventar'!$B$6:$B$65,MATCH(A31,'01_KI-Inventar'!$A$6:$A$65,0)),""))</f>
        <v/>
      </c>
      <c r="C31" s="7"/>
      <c r="D31" s="7"/>
      <c r="E31" s="7"/>
      <c r="F31" s="7"/>
      <c r="G31" s="7"/>
      <c r="H31" s="7"/>
      <c r="I31" s="11" t="str">
        <f aca="false">IF(A31="","",IF(OR(C31="Ja",E31="Ja",F31="Ja",G31="Ja",H31="Ja"),IF(D31="Ja","Anbieter und Betreiber","Anbieter"),IF(D31="Ja","Betreiber",IF(COUNTA(C31:H31)=6,"keine Anbieter-/Betreiberrolle","noch offen"))))</f>
        <v/>
      </c>
      <c r="J31" s="11" t="str">
        <f aca="false">IF(A31="","",IF(OR(E31="Ja",F31="Ja",G31="Ja",H31="Ja"),IF(D31="Ja","Rollenwechsel nach Art. 25 — Anbieterpflichten (Art. 16) UND Betreiberpflichten (Art. 26)","Rollenwechsel nach Art. 25 — volle Anbieterpflichten nach Art. 16"),IF(AND(C31="Ja",D31="Ja"),"Anbieterpflichten (Art. 16) UND Betreiberpflichten (Art. 26)",IF(C31="Ja","Anbieterpflichten nach Art. 16",IF(D31="Ja","Betreiberpflichten nach Art. 26",IF(COUNTA(C31:H31)=6,"keine Anbieter-/Betreiberrolle — Einführer-/Händlerpflichten (Art. 23, 24) prüfen","noch offen — bitte alle Fragen beantworten"))))))</f>
        <v/>
      </c>
      <c r="K31" s="12"/>
      <c r="L31" s="10"/>
    </row>
    <row r="32" customFormat="false" ht="25.5" hidden="false" customHeight="true" outlineLevel="0" collapsed="false">
      <c r="A32" s="7"/>
      <c r="B32" s="11" t="str">
        <f aca="false">IF(A32="","",IFERROR(INDEX('01_KI-Inventar'!$B$6:$B$65,MATCH(A32,'01_KI-Inventar'!$A$6:$A$65,0)),""))</f>
        <v/>
      </c>
      <c r="C32" s="7"/>
      <c r="D32" s="7"/>
      <c r="E32" s="7"/>
      <c r="F32" s="7"/>
      <c r="G32" s="7"/>
      <c r="H32" s="7"/>
      <c r="I32" s="11" t="str">
        <f aca="false">IF(A32="","",IF(OR(C32="Ja",E32="Ja",F32="Ja",G32="Ja",H32="Ja"),IF(D32="Ja","Anbieter und Betreiber","Anbieter"),IF(D32="Ja","Betreiber",IF(COUNTA(C32:H32)=6,"keine Anbieter-/Betreiberrolle","noch offen"))))</f>
        <v/>
      </c>
      <c r="J32" s="11" t="str">
        <f aca="false">IF(A32="","",IF(OR(E32="Ja",F32="Ja",G32="Ja",H32="Ja"),IF(D32="Ja","Rollenwechsel nach Art. 25 — Anbieterpflichten (Art. 16) UND Betreiberpflichten (Art. 26)","Rollenwechsel nach Art. 25 — volle Anbieterpflichten nach Art. 16"),IF(AND(C32="Ja",D32="Ja"),"Anbieterpflichten (Art. 16) UND Betreiberpflichten (Art. 26)",IF(C32="Ja","Anbieterpflichten nach Art. 16",IF(D32="Ja","Betreiberpflichten nach Art. 26",IF(COUNTA(C32:H32)=6,"keine Anbieter-/Betreiberrolle — Einführer-/Händlerpflichten (Art. 23, 24) prüfen","noch offen — bitte alle Fragen beantworten"))))))</f>
        <v/>
      </c>
      <c r="K32" s="12"/>
      <c r="L32" s="10"/>
    </row>
    <row r="33" customFormat="false" ht="25.5" hidden="false" customHeight="true" outlineLevel="0" collapsed="false">
      <c r="A33" s="7"/>
      <c r="B33" s="11" t="str">
        <f aca="false">IF(A33="","",IFERROR(INDEX('01_KI-Inventar'!$B$6:$B$65,MATCH(A33,'01_KI-Inventar'!$A$6:$A$65,0)),""))</f>
        <v/>
      </c>
      <c r="C33" s="7"/>
      <c r="D33" s="7"/>
      <c r="E33" s="7"/>
      <c r="F33" s="7"/>
      <c r="G33" s="7"/>
      <c r="H33" s="7"/>
      <c r="I33" s="11" t="str">
        <f aca="false">IF(A33="","",IF(OR(C33="Ja",E33="Ja",F33="Ja",G33="Ja",H33="Ja"),IF(D33="Ja","Anbieter und Betreiber","Anbieter"),IF(D33="Ja","Betreiber",IF(COUNTA(C33:H33)=6,"keine Anbieter-/Betreiberrolle","noch offen"))))</f>
        <v/>
      </c>
      <c r="J33" s="11" t="str">
        <f aca="false">IF(A33="","",IF(OR(E33="Ja",F33="Ja",G33="Ja",H33="Ja"),IF(D33="Ja","Rollenwechsel nach Art. 25 — Anbieterpflichten (Art. 16) UND Betreiberpflichten (Art. 26)","Rollenwechsel nach Art. 25 — volle Anbieterpflichten nach Art. 16"),IF(AND(C33="Ja",D33="Ja"),"Anbieterpflichten (Art. 16) UND Betreiberpflichten (Art. 26)",IF(C33="Ja","Anbieterpflichten nach Art. 16",IF(D33="Ja","Betreiberpflichten nach Art. 26",IF(COUNTA(C33:H33)=6,"keine Anbieter-/Betreiberrolle — Einführer-/Händlerpflichten (Art. 23, 24) prüfen","noch offen — bitte alle Fragen beantworten"))))))</f>
        <v/>
      </c>
      <c r="K33" s="12"/>
      <c r="L33" s="10"/>
    </row>
    <row r="34" customFormat="false" ht="25.5" hidden="false" customHeight="true" outlineLevel="0" collapsed="false">
      <c r="A34" s="7"/>
      <c r="B34" s="11" t="str">
        <f aca="false">IF(A34="","",IFERROR(INDEX('01_KI-Inventar'!$B$6:$B$65,MATCH(A34,'01_KI-Inventar'!$A$6:$A$65,0)),""))</f>
        <v/>
      </c>
      <c r="C34" s="7"/>
      <c r="D34" s="7"/>
      <c r="E34" s="7"/>
      <c r="F34" s="7"/>
      <c r="G34" s="7"/>
      <c r="H34" s="7"/>
      <c r="I34" s="11" t="str">
        <f aca="false">IF(A34="","",IF(OR(C34="Ja",E34="Ja",F34="Ja",G34="Ja",H34="Ja"),IF(D34="Ja","Anbieter und Betreiber","Anbieter"),IF(D34="Ja","Betreiber",IF(COUNTA(C34:H34)=6,"keine Anbieter-/Betreiberrolle","noch offen"))))</f>
        <v/>
      </c>
      <c r="J34" s="11" t="str">
        <f aca="false">IF(A34="","",IF(OR(E34="Ja",F34="Ja",G34="Ja",H34="Ja"),IF(D34="Ja","Rollenwechsel nach Art. 25 — Anbieterpflichten (Art. 16) UND Betreiberpflichten (Art. 26)","Rollenwechsel nach Art. 25 — volle Anbieterpflichten nach Art. 16"),IF(AND(C34="Ja",D34="Ja"),"Anbieterpflichten (Art. 16) UND Betreiberpflichten (Art. 26)",IF(C34="Ja","Anbieterpflichten nach Art. 16",IF(D34="Ja","Betreiberpflichten nach Art. 26",IF(COUNTA(C34:H34)=6,"keine Anbieter-/Betreiberrolle — Einführer-/Händlerpflichten (Art. 23, 24) prüfen","noch offen — bitte alle Fragen beantworten"))))))</f>
        <v/>
      </c>
      <c r="K34" s="12"/>
      <c r="L34" s="10"/>
    </row>
    <row r="35" customFormat="false" ht="25.5" hidden="false" customHeight="true" outlineLevel="0" collapsed="false">
      <c r="A35" s="7"/>
      <c r="B35" s="11" t="str">
        <f aca="false">IF(A35="","",IFERROR(INDEX('01_KI-Inventar'!$B$6:$B$65,MATCH(A35,'01_KI-Inventar'!$A$6:$A$65,0)),""))</f>
        <v/>
      </c>
      <c r="C35" s="7"/>
      <c r="D35" s="7"/>
      <c r="E35" s="7"/>
      <c r="F35" s="7"/>
      <c r="G35" s="7"/>
      <c r="H35" s="7"/>
      <c r="I35" s="11" t="str">
        <f aca="false">IF(A35="","",IF(OR(C35="Ja",E35="Ja",F35="Ja",G35="Ja",H35="Ja"),IF(D35="Ja","Anbieter und Betreiber","Anbieter"),IF(D35="Ja","Betreiber",IF(COUNTA(C35:H35)=6,"keine Anbieter-/Betreiberrolle","noch offen"))))</f>
        <v/>
      </c>
      <c r="J35" s="11" t="str">
        <f aca="false">IF(A35="","",IF(OR(E35="Ja",F35="Ja",G35="Ja",H35="Ja"),IF(D35="Ja","Rollenwechsel nach Art. 25 — Anbieterpflichten (Art. 16) UND Betreiberpflichten (Art. 26)","Rollenwechsel nach Art. 25 — volle Anbieterpflichten nach Art. 16"),IF(AND(C35="Ja",D35="Ja"),"Anbieterpflichten (Art. 16) UND Betreiberpflichten (Art. 26)",IF(C35="Ja","Anbieterpflichten nach Art. 16",IF(D35="Ja","Betreiberpflichten nach Art. 26",IF(COUNTA(C35:H35)=6,"keine Anbieter-/Betreiberrolle — Einführer-/Händlerpflichten (Art. 23, 24) prüfen","noch offen — bitte alle Fragen beantworten"))))))</f>
        <v/>
      </c>
      <c r="K35" s="12"/>
      <c r="L35" s="10"/>
    </row>
    <row r="36" customFormat="false" ht="25.5" hidden="false" customHeight="true" outlineLevel="0" collapsed="false">
      <c r="A36" s="7"/>
      <c r="B36" s="11" t="str">
        <f aca="false">IF(A36="","",IFERROR(INDEX('01_KI-Inventar'!$B$6:$B$65,MATCH(A36,'01_KI-Inventar'!$A$6:$A$65,0)),""))</f>
        <v/>
      </c>
      <c r="C36" s="7"/>
      <c r="D36" s="7"/>
      <c r="E36" s="7"/>
      <c r="F36" s="7"/>
      <c r="G36" s="7"/>
      <c r="H36" s="7"/>
      <c r="I36" s="11" t="str">
        <f aca="false">IF(A36="","",IF(OR(C36="Ja",E36="Ja",F36="Ja",G36="Ja",H36="Ja"),IF(D36="Ja","Anbieter und Betreiber","Anbieter"),IF(D36="Ja","Betreiber",IF(COUNTA(C36:H36)=6,"keine Anbieter-/Betreiberrolle","noch offen"))))</f>
        <v/>
      </c>
      <c r="J36" s="11" t="str">
        <f aca="false">IF(A36="","",IF(OR(E36="Ja",F36="Ja",G36="Ja",H36="Ja"),IF(D36="Ja","Rollenwechsel nach Art. 25 — Anbieterpflichten (Art. 16) UND Betreiberpflichten (Art. 26)","Rollenwechsel nach Art. 25 — volle Anbieterpflichten nach Art. 16"),IF(AND(C36="Ja",D36="Ja"),"Anbieterpflichten (Art. 16) UND Betreiberpflichten (Art. 26)",IF(C36="Ja","Anbieterpflichten nach Art. 16",IF(D36="Ja","Betreiberpflichten nach Art. 26",IF(COUNTA(C36:H36)=6,"keine Anbieter-/Betreiberrolle — Einführer-/Händlerpflichten (Art. 23, 24) prüfen","noch offen — bitte alle Fragen beantworten"))))))</f>
        <v/>
      </c>
      <c r="K36" s="12"/>
      <c r="L36" s="10"/>
    </row>
    <row r="37" customFormat="false" ht="25.5" hidden="false" customHeight="true" outlineLevel="0" collapsed="false">
      <c r="A37" s="7"/>
      <c r="B37" s="11" t="str">
        <f aca="false">IF(A37="","",IFERROR(INDEX('01_KI-Inventar'!$B$6:$B$65,MATCH(A37,'01_KI-Inventar'!$A$6:$A$65,0)),""))</f>
        <v/>
      </c>
      <c r="C37" s="7"/>
      <c r="D37" s="7"/>
      <c r="E37" s="7"/>
      <c r="F37" s="7"/>
      <c r="G37" s="7"/>
      <c r="H37" s="7"/>
      <c r="I37" s="11" t="str">
        <f aca="false">IF(A37="","",IF(OR(C37="Ja",E37="Ja",F37="Ja",G37="Ja",H37="Ja"),IF(D37="Ja","Anbieter und Betreiber","Anbieter"),IF(D37="Ja","Betreiber",IF(COUNTA(C37:H37)=6,"keine Anbieter-/Betreiberrolle","noch offen"))))</f>
        <v/>
      </c>
      <c r="J37" s="11" t="str">
        <f aca="false">IF(A37="","",IF(OR(E37="Ja",F37="Ja",G37="Ja",H37="Ja"),IF(D37="Ja","Rollenwechsel nach Art. 25 — Anbieterpflichten (Art. 16) UND Betreiberpflichten (Art. 26)","Rollenwechsel nach Art. 25 — volle Anbieterpflichten nach Art. 16"),IF(AND(C37="Ja",D37="Ja"),"Anbieterpflichten (Art. 16) UND Betreiberpflichten (Art. 26)",IF(C37="Ja","Anbieterpflichten nach Art. 16",IF(D37="Ja","Betreiberpflichten nach Art. 26",IF(COUNTA(C37:H37)=6,"keine Anbieter-/Betreiberrolle — Einführer-/Händlerpflichten (Art. 23, 24) prüfen","noch offen — bitte alle Fragen beantworten"))))))</f>
        <v/>
      </c>
      <c r="K37" s="12"/>
      <c r="L37" s="10"/>
    </row>
    <row r="38" customFormat="false" ht="25.5" hidden="false" customHeight="true" outlineLevel="0" collapsed="false">
      <c r="A38" s="7"/>
      <c r="B38" s="11" t="str">
        <f aca="false">IF(A38="","",IFERROR(INDEX('01_KI-Inventar'!$B$6:$B$65,MATCH(A38,'01_KI-Inventar'!$A$6:$A$65,0)),""))</f>
        <v/>
      </c>
      <c r="C38" s="7"/>
      <c r="D38" s="7"/>
      <c r="E38" s="7"/>
      <c r="F38" s="7"/>
      <c r="G38" s="7"/>
      <c r="H38" s="7"/>
      <c r="I38" s="11" t="str">
        <f aca="false">IF(A38="","",IF(OR(C38="Ja",E38="Ja",F38="Ja",G38="Ja",H38="Ja"),IF(D38="Ja","Anbieter und Betreiber","Anbieter"),IF(D38="Ja","Betreiber",IF(COUNTA(C38:H38)=6,"keine Anbieter-/Betreiberrolle","noch offen"))))</f>
        <v/>
      </c>
      <c r="J38" s="11" t="str">
        <f aca="false">IF(A38="","",IF(OR(E38="Ja",F38="Ja",G38="Ja",H38="Ja"),IF(D38="Ja","Rollenwechsel nach Art. 25 — Anbieterpflichten (Art. 16) UND Betreiberpflichten (Art. 26)","Rollenwechsel nach Art. 25 — volle Anbieterpflichten nach Art. 16"),IF(AND(C38="Ja",D38="Ja"),"Anbieterpflichten (Art. 16) UND Betreiberpflichten (Art. 26)",IF(C38="Ja","Anbieterpflichten nach Art. 16",IF(D38="Ja","Betreiberpflichten nach Art. 26",IF(COUNTA(C38:H38)=6,"keine Anbieter-/Betreiberrolle — Einführer-/Händlerpflichten (Art. 23, 24) prüfen","noch offen — bitte alle Fragen beantworten"))))))</f>
        <v/>
      </c>
      <c r="K38" s="12"/>
      <c r="L38" s="10"/>
    </row>
    <row r="39" customFormat="false" ht="25.5" hidden="false" customHeight="true" outlineLevel="0" collapsed="false">
      <c r="A39" s="7"/>
      <c r="B39" s="11" t="str">
        <f aca="false">IF(A39="","",IFERROR(INDEX('01_KI-Inventar'!$B$6:$B$65,MATCH(A39,'01_KI-Inventar'!$A$6:$A$65,0)),""))</f>
        <v/>
      </c>
      <c r="C39" s="7"/>
      <c r="D39" s="7"/>
      <c r="E39" s="7"/>
      <c r="F39" s="7"/>
      <c r="G39" s="7"/>
      <c r="H39" s="7"/>
      <c r="I39" s="11" t="str">
        <f aca="false">IF(A39="","",IF(OR(C39="Ja",E39="Ja",F39="Ja",G39="Ja",H39="Ja"),IF(D39="Ja","Anbieter und Betreiber","Anbieter"),IF(D39="Ja","Betreiber",IF(COUNTA(C39:H39)=6,"keine Anbieter-/Betreiberrolle","noch offen"))))</f>
        <v/>
      </c>
      <c r="J39" s="11" t="str">
        <f aca="false">IF(A39="","",IF(OR(E39="Ja",F39="Ja",G39="Ja",H39="Ja"),IF(D39="Ja","Rollenwechsel nach Art. 25 — Anbieterpflichten (Art. 16) UND Betreiberpflichten (Art. 26)","Rollenwechsel nach Art. 25 — volle Anbieterpflichten nach Art. 16"),IF(AND(C39="Ja",D39="Ja"),"Anbieterpflichten (Art. 16) UND Betreiberpflichten (Art. 26)",IF(C39="Ja","Anbieterpflichten nach Art. 16",IF(D39="Ja","Betreiberpflichten nach Art. 26",IF(COUNTA(C39:H39)=6,"keine Anbieter-/Betreiberrolle — Einführer-/Händlerpflichten (Art. 23, 24) prüfen","noch offen — bitte alle Fragen beantworten"))))))</f>
        <v/>
      </c>
      <c r="K39" s="12"/>
      <c r="L39" s="10"/>
    </row>
    <row r="40" customFormat="false" ht="25.5" hidden="false" customHeight="true" outlineLevel="0" collapsed="false">
      <c r="A40" s="7"/>
      <c r="B40" s="11" t="str">
        <f aca="false">IF(A40="","",IFERROR(INDEX('01_KI-Inventar'!$B$6:$B$65,MATCH(A40,'01_KI-Inventar'!$A$6:$A$65,0)),""))</f>
        <v/>
      </c>
      <c r="C40" s="7"/>
      <c r="D40" s="7"/>
      <c r="E40" s="7"/>
      <c r="F40" s="7"/>
      <c r="G40" s="7"/>
      <c r="H40" s="7"/>
      <c r="I40" s="11" t="str">
        <f aca="false">IF(A40="","",IF(OR(C40="Ja",E40="Ja",F40="Ja",G40="Ja",H40="Ja"),IF(D40="Ja","Anbieter und Betreiber","Anbieter"),IF(D40="Ja","Betreiber",IF(COUNTA(C40:H40)=6,"keine Anbieter-/Betreiberrolle","noch offen"))))</f>
        <v/>
      </c>
      <c r="J40" s="11" t="str">
        <f aca="false">IF(A40="","",IF(OR(E40="Ja",F40="Ja",G40="Ja",H40="Ja"),IF(D40="Ja","Rollenwechsel nach Art. 25 — Anbieterpflichten (Art. 16) UND Betreiberpflichten (Art. 26)","Rollenwechsel nach Art. 25 — volle Anbieterpflichten nach Art. 16"),IF(AND(C40="Ja",D40="Ja"),"Anbieterpflichten (Art. 16) UND Betreiberpflichten (Art. 26)",IF(C40="Ja","Anbieterpflichten nach Art. 16",IF(D40="Ja","Betreiberpflichten nach Art. 26",IF(COUNTA(C40:H40)=6,"keine Anbieter-/Betreiberrolle — Einführer-/Händlerpflichten (Art. 23, 24) prüfen","noch offen — bitte alle Fragen beantworten"))))))</f>
        <v/>
      </c>
      <c r="K40" s="12"/>
      <c r="L40" s="10"/>
    </row>
    <row r="41" customFormat="false" ht="25.5" hidden="false" customHeight="true" outlineLevel="0" collapsed="false">
      <c r="A41" s="7"/>
      <c r="B41" s="11" t="str">
        <f aca="false">IF(A41="","",IFERROR(INDEX('01_KI-Inventar'!$B$6:$B$65,MATCH(A41,'01_KI-Inventar'!$A$6:$A$65,0)),""))</f>
        <v/>
      </c>
      <c r="C41" s="7"/>
      <c r="D41" s="7"/>
      <c r="E41" s="7"/>
      <c r="F41" s="7"/>
      <c r="G41" s="7"/>
      <c r="H41" s="7"/>
      <c r="I41" s="11" t="str">
        <f aca="false">IF(A41="","",IF(OR(C41="Ja",E41="Ja",F41="Ja",G41="Ja",H41="Ja"),IF(D41="Ja","Anbieter und Betreiber","Anbieter"),IF(D41="Ja","Betreiber",IF(COUNTA(C41:H41)=6,"keine Anbieter-/Betreiberrolle","noch offen"))))</f>
        <v/>
      </c>
      <c r="J41" s="11" t="str">
        <f aca="false">IF(A41="","",IF(OR(E41="Ja",F41="Ja",G41="Ja",H41="Ja"),IF(D41="Ja","Rollenwechsel nach Art. 25 — Anbieterpflichten (Art. 16) UND Betreiberpflichten (Art. 26)","Rollenwechsel nach Art. 25 — volle Anbieterpflichten nach Art. 16"),IF(AND(C41="Ja",D41="Ja"),"Anbieterpflichten (Art. 16) UND Betreiberpflichten (Art. 26)",IF(C41="Ja","Anbieterpflichten nach Art. 16",IF(D41="Ja","Betreiberpflichten nach Art. 26",IF(COUNTA(C41:H41)=6,"keine Anbieter-/Betreiberrolle — Einführer-/Händlerpflichten (Art. 23, 24) prüfen","noch offen — bitte alle Fragen beantworten"))))))</f>
        <v/>
      </c>
      <c r="K41" s="12"/>
      <c r="L41" s="10"/>
    </row>
    <row r="42" customFormat="false" ht="25.5" hidden="false" customHeight="true" outlineLevel="0" collapsed="false">
      <c r="A42" s="7"/>
      <c r="B42" s="11" t="str">
        <f aca="false">IF(A42="","",IFERROR(INDEX('01_KI-Inventar'!$B$6:$B$65,MATCH(A42,'01_KI-Inventar'!$A$6:$A$65,0)),""))</f>
        <v/>
      </c>
      <c r="C42" s="7"/>
      <c r="D42" s="7"/>
      <c r="E42" s="7"/>
      <c r="F42" s="7"/>
      <c r="G42" s="7"/>
      <c r="H42" s="7"/>
      <c r="I42" s="11" t="str">
        <f aca="false">IF(A42="","",IF(OR(C42="Ja",E42="Ja",F42="Ja",G42="Ja",H42="Ja"),IF(D42="Ja","Anbieter und Betreiber","Anbieter"),IF(D42="Ja","Betreiber",IF(COUNTA(C42:H42)=6,"keine Anbieter-/Betreiberrolle","noch offen"))))</f>
        <v/>
      </c>
      <c r="J42" s="11" t="str">
        <f aca="false">IF(A42="","",IF(OR(E42="Ja",F42="Ja",G42="Ja",H42="Ja"),IF(D42="Ja","Rollenwechsel nach Art. 25 — Anbieterpflichten (Art. 16) UND Betreiberpflichten (Art. 26)","Rollenwechsel nach Art. 25 — volle Anbieterpflichten nach Art. 16"),IF(AND(C42="Ja",D42="Ja"),"Anbieterpflichten (Art. 16) UND Betreiberpflichten (Art. 26)",IF(C42="Ja","Anbieterpflichten nach Art. 16",IF(D42="Ja","Betreiberpflichten nach Art. 26",IF(COUNTA(C42:H42)=6,"keine Anbieter-/Betreiberrolle — Einführer-/Händlerpflichten (Art. 23, 24) prüfen","noch offen — bitte alle Fragen beantworten"))))))</f>
        <v/>
      </c>
      <c r="K42" s="12"/>
      <c r="L42" s="10"/>
    </row>
    <row r="43" customFormat="false" ht="25.5" hidden="false" customHeight="true" outlineLevel="0" collapsed="false">
      <c r="A43" s="7"/>
      <c r="B43" s="11" t="str">
        <f aca="false">IF(A43="","",IFERROR(INDEX('01_KI-Inventar'!$B$6:$B$65,MATCH(A43,'01_KI-Inventar'!$A$6:$A$65,0)),""))</f>
        <v/>
      </c>
      <c r="C43" s="7"/>
      <c r="D43" s="7"/>
      <c r="E43" s="7"/>
      <c r="F43" s="7"/>
      <c r="G43" s="7"/>
      <c r="H43" s="7"/>
      <c r="I43" s="11" t="str">
        <f aca="false">IF(A43="","",IF(OR(C43="Ja",E43="Ja",F43="Ja",G43="Ja",H43="Ja"),IF(D43="Ja","Anbieter und Betreiber","Anbieter"),IF(D43="Ja","Betreiber",IF(COUNTA(C43:H43)=6,"keine Anbieter-/Betreiberrolle","noch offen"))))</f>
        <v/>
      </c>
      <c r="J43" s="11" t="str">
        <f aca="false">IF(A43="","",IF(OR(E43="Ja",F43="Ja",G43="Ja",H43="Ja"),IF(D43="Ja","Rollenwechsel nach Art. 25 — Anbieterpflichten (Art. 16) UND Betreiberpflichten (Art. 26)","Rollenwechsel nach Art. 25 — volle Anbieterpflichten nach Art. 16"),IF(AND(C43="Ja",D43="Ja"),"Anbieterpflichten (Art. 16) UND Betreiberpflichten (Art. 26)",IF(C43="Ja","Anbieterpflichten nach Art. 16",IF(D43="Ja","Betreiberpflichten nach Art. 26",IF(COUNTA(C43:H43)=6,"keine Anbieter-/Betreiberrolle — Einführer-/Händlerpflichten (Art. 23, 24) prüfen","noch offen — bitte alle Fragen beantworten"))))))</f>
        <v/>
      </c>
      <c r="K43" s="12"/>
      <c r="L43" s="10"/>
    </row>
    <row r="44" customFormat="false" ht="25.5" hidden="false" customHeight="true" outlineLevel="0" collapsed="false">
      <c r="A44" s="7"/>
      <c r="B44" s="11" t="str">
        <f aca="false">IF(A44="","",IFERROR(INDEX('01_KI-Inventar'!$B$6:$B$65,MATCH(A44,'01_KI-Inventar'!$A$6:$A$65,0)),""))</f>
        <v/>
      </c>
      <c r="C44" s="7"/>
      <c r="D44" s="7"/>
      <c r="E44" s="7"/>
      <c r="F44" s="7"/>
      <c r="G44" s="7"/>
      <c r="H44" s="7"/>
      <c r="I44" s="11" t="str">
        <f aca="false">IF(A44="","",IF(OR(C44="Ja",E44="Ja",F44="Ja",G44="Ja",H44="Ja"),IF(D44="Ja","Anbieter und Betreiber","Anbieter"),IF(D44="Ja","Betreiber",IF(COUNTA(C44:H44)=6,"keine Anbieter-/Betreiberrolle","noch offen"))))</f>
        <v/>
      </c>
      <c r="J44" s="11" t="str">
        <f aca="false">IF(A44="","",IF(OR(E44="Ja",F44="Ja",G44="Ja",H44="Ja"),IF(D44="Ja","Rollenwechsel nach Art. 25 — Anbieterpflichten (Art. 16) UND Betreiberpflichten (Art. 26)","Rollenwechsel nach Art. 25 — volle Anbieterpflichten nach Art. 16"),IF(AND(C44="Ja",D44="Ja"),"Anbieterpflichten (Art. 16) UND Betreiberpflichten (Art. 26)",IF(C44="Ja","Anbieterpflichten nach Art. 16",IF(D44="Ja","Betreiberpflichten nach Art. 26",IF(COUNTA(C44:H44)=6,"keine Anbieter-/Betreiberrolle — Einführer-/Händlerpflichten (Art. 23, 24) prüfen","noch offen — bitte alle Fragen beantworten"))))))</f>
        <v/>
      </c>
      <c r="K44" s="12"/>
      <c r="L44" s="10"/>
    </row>
    <row r="45" customFormat="false" ht="25.5" hidden="false" customHeight="true" outlineLevel="0" collapsed="false">
      <c r="A45" s="7"/>
      <c r="B45" s="11" t="str">
        <f aca="false">IF(A45="","",IFERROR(INDEX('01_KI-Inventar'!$B$6:$B$65,MATCH(A45,'01_KI-Inventar'!$A$6:$A$65,0)),""))</f>
        <v/>
      </c>
      <c r="C45" s="7"/>
      <c r="D45" s="7"/>
      <c r="E45" s="7"/>
      <c r="F45" s="7"/>
      <c r="G45" s="7"/>
      <c r="H45" s="7"/>
      <c r="I45" s="11" t="str">
        <f aca="false">IF(A45="","",IF(OR(C45="Ja",E45="Ja",F45="Ja",G45="Ja",H45="Ja"),IF(D45="Ja","Anbieter und Betreiber","Anbieter"),IF(D45="Ja","Betreiber",IF(COUNTA(C45:H45)=6,"keine Anbieter-/Betreiberrolle","noch offen"))))</f>
        <v/>
      </c>
      <c r="J45" s="11" t="str">
        <f aca="false">IF(A45="","",IF(OR(E45="Ja",F45="Ja",G45="Ja",H45="Ja"),IF(D45="Ja","Rollenwechsel nach Art. 25 — Anbieterpflichten (Art. 16) UND Betreiberpflichten (Art. 26)","Rollenwechsel nach Art. 25 — volle Anbieterpflichten nach Art. 16"),IF(AND(C45="Ja",D45="Ja"),"Anbieterpflichten (Art. 16) UND Betreiberpflichten (Art. 26)",IF(C45="Ja","Anbieterpflichten nach Art. 16",IF(D45="Ja","Betreiberpflichten nach Art. 26",IF(COUNTA(C45:H45)=6,"keine Anbieter-/Betreiberrolle — Einführer-/Händlerpflichten (Art. 23, 24) prüfen","noch offen — bitte alle Fragen beantworten"))))))</f>
        <v/>
      </c>
      <c r="K45" s="12"/>
      <c r="L45" s="10"/>
    </row>
    <row r="46" customFormat="false" ht="25.5" hidden="false" customHeight="true" outlineLevel="0" collapsed="false">
      <c r="A46" s="7"/>
      <c r="B46" s="11" t="str">
        <f aca="false">IF(A46="","",IFERROR(INDEX('01_KI-Inventar'!$B$6:$B$65,MATCH(A46,'01_KI-Inventar'!$A$6:$A$65,0)),""))</f>
        <v/>
      </c>
      <c r="C46" s="7"/>
      <c r="D46" s="7"/>
      <c r="E46" s="7"/>
      <c r="F46" s="7"/>
      <c r="G46" s="7"/>
      <c r="H46" s="7"/>
      <c r="I46" s="11" t="str">
        <f aca="false">IF(A46="","",IF(OR(C46="Ja",E46="Ja",F46="Ja",G46="Ja",H46="Ja"),IF(D46="Ja","Anbieter und Betreiber","Anbieter"),IF(D46="Ja","Betreiber",IF(COUNTA(C46:H46)=6,"keine Anbieter-/Betreiberrolle","noch offen"))))</f>
        <v/>
      </c>
      <c r="J46" s="11" t="str">
        <f aca="false">IF(A46="","",IF(OR(E46="Ja",F46="Ja",G46="Ja",H46="Ja"),IF(D46="Ja","Rollenwechsel nach Art. 25 — Anbieterpflichten (Art. 16) UND Betreiberpflichten (Art. 26)","Rollenwechsel nach Art. 25 — volle Anbieterpflichten nach Art. 16"),IF(AND(C46="Ja",D46="Ja"),"Anbieterpflichten (Art. 16) UND Betreiberpflichten (Art. 26)",IF(C46="Ja","Anbieterpflichten nach Art. 16",IF(D46="Ja","Betreiberpflichten nach Art. 26",IF(COUNTA(C46:H46)=6,"keine Anbieter-/Betreiberrolle — Einführer-/Händlerpflichten (Art. 23, 24) prüfen","noch offen — bitte alle Fragen beantworten"))))))</f>
        <v/>
      </c>
      <c r="K46" s="12"/>
      <c r="L46" s="10"/>
    </row>
    <row r="47" customFormat="false" ht="25.5" hidden="false" customHeight="true" outlineLevel="0" collapsed="false">
      <c r="A47" s="7"/>
      <c r="B47" s="11" t="str">
        <f aca="false">IF(A47="","",IFERROR(INDEX('01_KI-Inventar'!$B$6:$B$65,MATCH(A47,'01_KI-Inventar'!$A$6:$A$65,0)),""))</f>
        <v/>
      </c>
      <c r="C47" s="7"/>
      <c r="D47" s="7"/>
      <c r="E47" s="7"/>
      <c r="F47" s="7"/>
      <c r="G47" s="7"/>
      <c r="H47" s="7"/>
      <c r="I47" s="11" t="str">
        <f aca="false">IF(A47="","",IF(OR(C47="Ja",E47="Ja",F47="Ja",G47="Ja",H47="Ja"),IF(D47="Ja","Anbieter und Betreiber","Anbieter"),IF(D47="Ja","Betreiber",IF(COUNTA(C47:H47)=6,"keine Anbieter-/Betreiberrolle","noch offen"))))</f>
        <v/>
      </c>
      <c r="J47" s="11" t="str">
        <f aca="false">IF(A47="","",IF(OR(E47="Ja",F47="Ja",G47="Ja",H47="Ja"),IF(D47="Ja","Rollenwechsel nach Art. 25 — Anbieterpflichten (Art. 16) UND Betreiberpflichten (Art. 26)","Rollenwechsel nach Art. 25 — volle Anbieterpflichten nach Art. 16"),IF(AND(C47="Ja",D47="Ja"),"Anbieterpflichten (Art. 16) UND Betreiberpflichten (Art. 26)",IF(C47="Ja","Anbieterpflichten nach Art. 16",IF(D47="Ja","Betreiberpflichten nach Art. 26",IF(COUNTA(C47:H47)=6,"keine Anbieter-/Betreiberrolle — Einführer-/Händlerpflichten (Art. 23, 24) prüfen","noch offen — bitte alle Fragen beantworten"))))))</f>
        <v/>
      </c>
      <c r="K47" s="12"/>
      <c r="L47" s="10"/>
    </row>
    <row r="48" customFormat="false" ht="25.5" hidden="false" customHeight="true" outlineLevel="0" collapsed="false">
      <c r="A48" s="7"/>
      <c r="B48" s="11" t="str">
        <f aca="false">IF(A48="","",IFERROR(INDEX('01_KI-Inventar'!$B$6:$B$65,MATCH(A48,'01_KI-Inventar'!$A$6:$A$65,0)),""))</f>
        <v/>
      </c>
      <c r="C48" s="7"/>
      <c r="D48" s="7"/>
      <c r="E48" s="7"/>
      <c r="F48" s="7"/>
      <c r="G48" s="7"/>
      <c r="H48" s="7"/>
      <c r="I48" s="11" t="str">
        <f aca="false">IF(A48="","",IF(OR(C48="Ja",E48="Ja",F48="Ja",G48="Ja",H48="Ja"),IF(D48="Ja","Anbieter und Betreiber","Anbieter"),IF(D48="Ja","Betreiber",IF(COUNTA(C48:H48)=6,"keine Anbieter-/Betreiberrolle","noch offen"))))</f>
        <v/>
      </c>
      <c r="J48" s="11" t="str">
        <f aca="false">IF(A48="","",IF(OR(E48="Ja",F48="Ja",G48="Ja",H48="Ja"),IF(D48="Ja","Rollenwechsel nach Art. 25 — Anbieterpflichten (Art. 16) UND Betreiberpflichten (Art. 26)","Rollenwechsel nach Art. 25 — volle Anbieterpflichten nach Art. 16"),IF(AND(C48="Ja",D48="Ja"),"Anbieterpflichten (Art. 16) UND Betreiberpflichten (Art. 26)",IF(C48="Ja","Anbieterpflichten nach Art. 16",IF(D48="Ja","Betreiberpflichten nach Art. 26",IF(COUNTA(C48:H48)=6,"keine Anbieter-/Betreiberrolle — Einführer-/Händlerpflichten (Art. 23, 24) prüfen","noch offen — bitte alle Fragen beantworten"))))))</f>
        <v/>
      </c>
      <c r="K48" s="12"/>
      <c r="L48" s="10"/>
    </row>
    <row r="49" customFormat="false" ht="25.5" hidden="false" customHeight="true" outlineLevel="0" collapsed="false">
      <c r="A49" s="7"/>
      <c r="B49" s="11" t="str">
        <f aca="false">IF(A49="","",IFERROR(INDEX('01_KI-Inventar'!$B$6:$B$65,MATCH(A49,'01_KI-Inventar'!$A$6:$A$65,0)),""))</f>
        <v/>
      </c>
      <c r="C49" s="7"/>
      <c r="D49" s="7"/>
      <c r="E49" s="7"/>
      <c r="F49" s="7"/>
      <c r="G49" s="7"/>
      <c r="H49" s="7"/>
      <c r="I49" s="11" t="str">
        <f aca="false">IF(A49="","",IF(OR(C49="Ja",E49="Ja",F49="Ja",G49="Ja",H49="Ja"),IF(D49="Ja","Anbieter und Betreiber","Anbieter"),IF(D49="Ja","Betreiber",IF(COUNTA(C49:H49)=6,"keine Anbieter-/Betreiberrolle","noch offen"))))</f>
        <v/>
      </c>
      <c r="J49" s="11" t="str">
        <f aca="false">IF(A49="","",IF(OR(E49="Ja",F49="Ja",G49="Ja",H49="Ja"),IF(D49="Ja","Rollenwechsel nach Art. 25 — Anbieterpflichten (Art. 16) UND Betreiberpflichten (Art. 26)","Rollenwechsel nach Art. 25 — volle Anbieterpflichten nach Art. 16"),IF(AND(C49="Ja",D49="Ja"),"Anbieterpflichten (Art. 16) UND Betreiberpflichten (Art. 26)",IF(C49="Ja","Anbieterpflichten nach Art. 16",IF(D49="Ja","Betreiberpflichten nach Art. 26",IF(COUNTA(C49:H49)=6,"keine Anbieter-/Betreiberrolle — Einführer-/Händlerpflichten (Art. 23, 24) prüfen","noch offen — bitte alle Fragen beantworten"))))))</f>
        <v/>
      </c>
      <c r="K49" s="12"/>
      <c r="L49" s="10"/>
    </row>
    <row r="50" customFormat="false" ht="25.5" hidden="false" customHeight="true" outlineLevel="0" collapsed="false">
      <c r="A50" s="7"/>
      <c r="B50" s="11" t="str">
        <f aca="false">IF(A50="","",IFERROR(INDEX('01_KI-Inventar'!$B$6:$B$65,MATCH(A50,'01_KI-Inventar'!$A$6:$A$65,0)),""))</f>
        <v/>
      </c>
      <c r="C50" s="7"/>
      <c r="D50" s="7"/>
      <c r="E50" s="7"/>
      <c r="F50" s="7"/>
      <c r="G50" s="7"/>
      <c r="H50" s="7"/>
      <c r="I50" s="11" t="str">
        <f aca="false">IF(A50="","",IF(OR(C50="Ja",E50="Ja",F50="Ja",G50="Ja",H50="Ja"),IF(D50="Ja","Anbieter und Betreiber","Anbieter"),IF(D50="Ja","Betreiber",IF(COUNTA(C50:H50)=6,"keine Anbieter-/Betreiberrolle","noch offen"))))</f>
        <v/>
      </c>
      <c r="J50" s="11" t="str">
        <f aca="false">IF(A50="","",IF(OR(E50="Ja",F50="Ja",G50="Ja",H50="Ja"),IF(D50="Ja","Rollenwechsel nach Art. 25 — Anbieterpflichten (Art. 16) UND Betreiberpflichten (Art. 26)","Rollenwechsel nach Art. 25 — volle Anbieterpflichten nach Art. 16"),IF(AND(C50="Ja",D50="Ja"),"Anbieterpflichten (Art. 16) UND Betreiberpflichten (Art. 26)",IF(C50="Ja","Anbieterpflichten nach Art. 16",IF(D50="Ja","Betreiberpflichten nach Art. 26",IF(COUNTA(C50:H50)=6,"keine Anbieter-/Betreiberrolle — Einführer-/Händlerpflichten (Art. 23, 24) prüfen","noch offen — bitte alle Fragen beantworten"))))))</f>
        <v/>
      </c>
      <c r="K50" s="12"/>
      <c r="L50" s="10"/>
    </row>
    <row r="51" customFormat="false" ht="25.5" hidden="false" customHeight="true" outlineLevel="0" collapsed="false">
      <c r="A51" s="7"/>
      <c r="B51" s="11" t="str">
        <f aca="false">IF(A51="","",IFERROR(INDEX('01_KI-Inventar'!$B$6:$B$65,MATCH(A51,'01_KI-Inventar'!$A$6:$A$65,0)),""))</f>
        <v/>
      </c>
      <c r="C51" s="7"/>
      <c r="D51" s="7"/>
      <c r="E51" s="7"/>
      <c r="F51" s="7"/>
      <c r="G51" s="7"/>
      <c r="H51" s="7"/>
      <c r="I51" s="11" t="str">
        <f aca="false">IF(A51="","",IF(OR(C51="Ja",E51="Ja",F51="Ja",G51="Ja",H51="Ja"),IF(D51="Ja","Anbieter und Betreiber","Anbieter"),IF(D51="Ja","Betreiber",IF(COUNTA(C51:H51)=6,"keine Anbieter-/Betreiberrolle","noch offen"))))</f>
        <v/>
      </c>
      <c r="J51" s="11" t="str">
        <f aca="false">IF(A51="","",IF(OR(E51="Ja",F51="Ja",G51="Ja",H51="Ja"),IF(D51="Ja","Rollenwechsel nach Art. 25 — Anbieterpflichten (Art. 16) UND Betreiberpflichten (Art. 26)","Rollenwechsel nach Art. 25 — volle Anbieterpflichten nach Art. 16"),IF(AND(C51="Ja",D51="Ja"),"Anbieterpflichten (Art. 16) UND Betreiberpflichten (Art. 26)",IF(C51="Ja","Anbieterpflichten nach Art. 16",IF(D51="Ja","Betreiberpflichten nach Art. 26",IF(COUNTA(C51:H51)=6,"keine Anbieter-/Betreiberrolle — Einführer-/Händlerpflichten (Art. 23, 24) prüfen","noch offen — bitte alle Fragen beantworten"))))))</f>
        <v/>
      </c>
      <c r="K51" s="12"/>
      <c r="L51" s="10"/>
    </row>
    <row r="52" customFormat="false" ht="25.5" hidden="false" customHeight="true" outlineLevel="0" collapsed="false">
      <c r="A52" s="7"/>
      <c r="B52" s="11" t="str">
        <f aca="false">IF(A52="","",IFERROR(INDEX('01_KI-Inventar'!$B$6:$B$65,MATCH(A52,'01_KI-Inventar'!$A$6:$A$65,0)),""))</f>
        <v/>
      </c>
      <c r="C52" s="7"/>
      <c r="D52" s="7"/>
      <c r="E52" s="7"/>
      <c r="F52" s="7"/>
      <c r="G52" s="7"/>
      <c r="H52" s="7"/>
      <c r="I52" s="11" t="str">
        <f aca="false">IF(A52="","",IF(OR(C52="Ja",E52="Ja",F52="Ja",G52="Ja",H52="Ja"),IF(D52="Ja","Anbieter und Betreiber","Anbieter"),IF(D52="Ja","Betreiber",IF(COUNTA(C52:H52)=6,"keine Anbieter-/Betreiberrolle","noch offen"))))</f>
        <v/>
      </c>
      <c r="J52" s="11" t="str">
        <f aca="false">IF(A52="","",IF(OR(E52="Ja",F52="Ja",G52="Ja",H52="Ja"),IF(D52="Ja","Rollenwechsel nach Art. 25 — Anbieterpflichten (Art. 16) UND Betreiberpflichten (Art. 26)","Rollenwechsel nach Art. 25 — volle Anbieterpflichten nach Art. 16"),IF(AND(C52="Ja",D52="Ja"),"Anbieterpflichten (Art. 16) UND Betreiberpflichten (Art. 26)",IF(C52="Ja","Anbieterpflichten nach Art. 16",IF(D52="Ja","Betreiberpflichten nach Art. 26",IF(COUNTA(C52:H52)=6,"keine Anbieter-/Betreiberrolle — Einführer-/Händlerpflichten (Art. 23, 24) prüfen","noch offen — bitte alle Fragen beantworten"))))))</f>
        <v/>
      </c>
      <c r="K52" s="12"/>
      <c r="L52" s="10"/>
    </row>
    <row r="53" customFormat="false" ht="25.5" hidden="false" customHeight="true" outlineLevel="0" collapsed="false">
      <c r="A53" s="7"/>
      <c r="B53" s="11" t="str">
        <f aca="false">IF(A53="","",IFERROR(INDEX('01_KI-Inventar'!$B$6:$B$65,MATCH(A53,'01_KI-Inventar'!$A$6:$A$65,0)),""))</f>
        <v/>
      </c>
      <c r="C53" s="7"/>
      <c r="D53" s="7"/>
      <c r="E53" s="7"/>
      <c r="F53" s="7"/>
      <c r="G53" s="7"/>
      <c r="H53" s="7"/>
      <c r="I53" s="11" t="str">
        <f aca="false">IF(A53="","",IF(OR(C53="Ja",E53="Ja",F53="Ja",G53="Ja",H53="Ja"),IF(D53="Ja","Anbieter und Betreiber","Anbieter"),IF(D53="Ja","Betreiber",IF(COUNTA(C53:H53)=6,"keine Anbieter-/Betreiberrolle","noch offen"))))</f>
        <v/>
      </c>
      <c r="J53" s="11" t="str">
        <f aca="false">IF(A53="","",IF(OR(E53="Ja",F53="Ja",G53="Ja",H53="Ja"),IF(D53="Ja","Rollenwechsel nach Art. 25 — Anbieterpflichten (Art. 16) UND Betreiberpflichten (Art. 26)","Rollenwechsel nach Art. 25 — volle Anbieterpflichten nach Art. 16"),IF(AND(C53="Ja",D53="Ja"),"Anbieterpflichten (Art. 16) UND Betreiberpflichten (Art. 26)",IF(C53="Ja","Anbieterpflichten nach Art. 16",IF(D53="Ja","Betreiberpflichten nach Art. 26",IF(COUNTA(C53:H53)=6,"keine Anbieter-/Betreiberrolle — Einführer-/Händlerpflichten (Art. 23, 24) prüfen","noch offen — bitte alle Fragen beantworten"))))))</f>
        <v/>
      </c>
      <c r="K53" s="12"/>
      <c r="L53" s="10"/>
    </row>
    <row r="54" customFormat="false" ht="25.5" hidden="false" customHeight="true" outlineLevel="0" collapsed="false">
      <c r="A54" s="7"/>
      <c r="B54" s="11" t="str">
        <f aca="false">IF(A54="","",IFERROR(INDEX('01_KI-Inventar'!$B$6:$B$65,MATCH(A54,'01_KI-Inventar'!$A$6:$A$65,0)),""))</f>
        <v/>
      </c>
      <c r="C54" s="7"/>
      <c r="D54" s="7"/>
      <c r="E54" s="7"/>
      <c r="F54" s="7"/>
      <c r="G54" s="7"/>
      <c r="H54" s="7"/>
      <c r="I54" s="11" t="str">
        <f aca="false">IF(A54="","",IF(OR(C54="Ja",E54="Ja",F54="Ja",G54="Ja",H54="Ja"),IF(D54="Ja","Anbieter und Betreiber","Anbieter"),IF(D54="Ja","Betreiber",IF(COUNTA(C54:H54)=6,"keine Anbieter-/Betreiberrolle","noch offen"))))</f>
        <v/>
      </c>
      <c r="J54" s="11" t="str">
        <f aca="false">IF(A54="","",IF(OR(E54="Ja",F54="Ja",G54="Ja",H54="Ja"),IF(D54="Ja","Rollenwechsel nach Art. 25 — Anbieterpflichten (Art. 16) UND Betreiberpflichten (Art. 26)","Rollenwechsel nach Art. 25 — volle Anbieterpflichten nach Art. 16"),IF(AND(C54="Ja",D54="Ja"),"Anbieterpflichten (Art. 16) UND Betreiberpflichten (Art. 26)",IF(C54="Ja","Anbieterpflichten nach Art. 16",IF(D54="Ja","Betreiberpflichten nach Art. 26",IF(COUNTA(C54:H54)=6,"keine Anbieter-/Betreiberrolle — Einführer-/Händlerpflichten (Art. 23, 24) prüfen","noch offen — bitte alle Fragen beantworten"))))))</f>
        <v/>
      </c>
      <c r="K54" s="12"/>
      <c r="L54" s="10"/>
    </row>
    <row r="55" customFormat="false" ht="25.5" hidden="false" customHeight="true" outlineLevel="0" collapsed="false">
      <c r="A55" s="7"/>
      <c r="B55" s="11" t="str">
        <f aca="false">IF(A55="","",IFERROR(INDEX('01_KI-Inventar'!$B$6:$B$65,MATCH(A55,'01_KI-Inventar'!$A$6:$A$65,0)),""))</f>
        <v/>
      </c>
      <c r="C55" s="7"/>
      <c r="D55" s="7"/>
      <c r="E55" s="7"/>
      <c r="F55" s="7"/>
      <c r="G55" s="7"/>
      <c r="H55" s="7"/>
      <c r="I55" s="11" t="str">
        <f aca="false">IF(A55="","",IF(OR(C55="Ja",E55="Ja",F55="Ja",G55="Ja",H55="Ja"),IF(D55="Ja","Anbieter und Betreiber","Anbieter"),IF(D55="Ja","Betreiber",IF(COUNTA(C55:H55)=6,"keine Anbieter-/Betreiberrolle","noch offen"))))</f>
        <v/>
      </c>
      <c r="J55" s="11" t="str">
        <f aca="false">IF(A55="","",IF(OR(E55="Ja",F55="Ja",G55="Ja",H55="Ja"),IF(D55="Ja","Rollenwechsel nach Art. 25 — Anbieterpflichten (Art. 16) UND Betreiberpflichten (Art. 26)","Rollenwechsel nach Art. 25 — volle Anbieterpflichten nach Art. 16"),IF(AND(C55="Ja",D55="Ja"),"Anbieterpflichten (Art. 16) UND Betreiberpflichten (Art. 26)",IF(C55="Ja","Anbieterpflichten nach Art. 16",IF(D55="Ja","Betreiberpflichten nach Art. 26",IF(COUNTA(C55:H55)=6,"keine Anbieter-/Betreiberrolle — Einführer-/Händlerpflichten (Art. 23, 24) prüfen","noch offen — bitte alle Fragen beantworten"))))))</f>
        <v/>
      </c>
      <c r="K55" s="12"/>
      <c r="L55" s="10"/>
    </row>
    <row r="56" customFormat="false" ht="25.5" hidden="false" customHeight="true" outlineLevel="0" collapsed="false">
      <c r="A56" s="7"/>
      <c r="B56" s="11" t="str">
        <f aca="false">IF(A56="","",IFERROR(INDEX('01_KI-Inventar'!$B$6:$B$65,MATCH(A56,'01_KI-Inventar'!$A$6:$A$65,0)),""))</f>
        <v/>
      </c>
      <c r="C56" s="7"/>
      <c r="D56" s="7"/>
      <c r="E56" s="7"/>
      <c r="F56" s="7"/>
      <c r="G56" s="7"/>
      <c r="H56" s="7"/>
      <c r="I56" s="11" t="str">
        <f aca="false">IF(A56="","",IF(OR(C56="Ja",E56="Ja",F56="Ja",G56="Ja",H56="Ja"),IF(D56="Ja","Anbieter und Betreiber","Anbieter"),IF(D56="Ja","Betreiber",IF(COUNTA(C56:H56)=6,"keine Anbieter-/Betreiberrolle","noch offen"))))</f>
        <v/>
      </c>
      <c r="J56" s="11" t="str">
        <f aca="false">IF(A56="","",IF(OR(E56="Ja",F56="Ja",G56="Ja",H56="Ja"),IF(D56="Ja","Rollenwechsel nach Art. 25 — Anbieterpflichten (Art. 16) UND Betreiberpflichten (Art. 26)","Rollenwechsel nach Art. 25 — volle Anbieterpflichten nach Art. 16"),IF(AND(C56="Ja",D56="Ja"),"Anbieterpflichten (Art. 16) UND Betreiberpflichten (Art. 26)",IF(C56="Ja","Anbieterpflichten nach Art. 16",IF(D56="Ja","Betreiberpflichten nach Art. 26",IF(COUNTA(C56:H56)=6,"keine Anbieter-/Betreiberrolle — Einführer-/Händlerpflichten (Art. 23, 24) prüfen","noch offen — bitte alle Fragen beantworten"))))))</f>
        <v/>
      </c>
      <c r="K56" s="12"/>
      <c r="L56" s="10"/>
    </row>
    <row r="57" customFormat="false" ht="25.5" hidden="false" customHeight="true" outlineLevel="0" collapsed="false">
      <c r="A57" s="7"/>
      <c r="B57" s="11" t="str">
        <f aca="false">IF(A57="","",IFERROR(INDEX('01_KI-Inventar'!$B$6:$B$65,MATCH(A57,'01_KI-Inventar'!$A$6:$A$65,0)),""))</f>
        <v/>
      </c>
      <c r="C57" s="7"/>
      <c r="D57" s="7"/>
      <c r="E57" s="7"/>
      <c r="F57" s="7"/>
      <c r="G57" s="7"/>
      <c r="H57" s="7"/>
      <c r="I57" s="11" t="str">
        <f aca="false">IF(A57="","",IF(OR(C57="Ja",E57="Ja",F57="Ja",G57="Ja",H57="Ja"),IF(D57="Ja","Anbieter und Betreiber","Anbieter"),IF(D57="Ja","Betreiber",IF(COUNTA(C57:H57)=6,"keine Anbieter-/Betreiberrolle","noch offen"))))</f>
        <v/>
      </c>
      <c r="J57" s="11" t="str">
        <f aca="false">IF(A57="","",IF(OR(E57="Ja",F57="Ja",G57="Ja",H57="Ja"),IF(D57="Ja","Rollenwechsel nach Art. 25 — Anbieterpflichten (Art. 16) UND Betreiberpflichten (Art. 26)","Rollenwechsel nach Art. 25 — volle Anbieterpflichten nach Art. 16"),IF(AND(C57="Ja",D57="Ja"),"Anbieterpflichten (Art. 16) UND Betreiberpflichten (Art. 26)",IF(C57="Ja","Anbieterpflichten nach Art. 16",IF(D57="Ja","Betreiberpflichten nach Art. 26",IF(COUNTA(C57:H57)=6,"keine Anbieter-/Betreiberrolle — Einführer-/Händlerpflichten (Art. 23, 24) prüfen","noch offen — bitte alle Fragen beantworten"))))))</f>
        <v/>
      </c>
      <c r="K57" s="12"/>
      <c r="L57" s="10"/>
    </row>
    <row r="58" customFormat="false" ht="25.5" hidden="false" customHeight="true" outlineLevel="0" collapsed="false">
      <c r="A58" s="7"/>
      <c r="B58" s="11" t="str">
        <f aca="false">IF(A58="","",IFERROR(INDEX('01_KI-Inventar'!$B$6:$B$65,MATCH(A58,'01_KI-Inventar'!$A$6:$A$65,0)),""))</f>
        <v/>
      </c>
      <c r="C58" s="7"/>
      <c r="D58" s="7"/>
      <c r="E58" s="7"/>
      <c r="F58" s="7"/>
      <c r="G58" s="7"/>
      <c r="H58" s="7"/>
      <c r="I58" s="11" t="str">
        <f aca="false">IF(A58="","",IF(OR(C58="Ja",E58="Ja",F58="Ja",G58="Ja",H58="Ja"),IF(D58="Ja","Anbieter und Betreiber","Anbieter"),IF(D58="Ja","Betreiber",IF(COUNTA(C58:H58)=6,"keine Anbieter-/Betreiberrolle","noch offen"))))</f>
        <v/>
      </c>
      <c r="J58" s="11" t="str">
        <f aca="false">IF(A58="","",IF(OR(E58="Ja",F58="Ja",G58="Ja",H58="Ja"),IF(D58="Ja","Rollenwechsel nach Art. 25 — Anbieterpflichten (Art. 16) UND Betreiberpflichten (Art. 26)","Rollenwechsel nach Art. 25 — volle Anbieterpflichten nach Art. 16"),IF(AND(C58="Ja",D58="Ja"),"Anbieterpflichten (Art. 16) UND Betreiberpflichten (Art. 26)",IF(C58="Ja","Anbieterpflichten nach Art. 16",IF(D58="Ja","Betreiberpflichten nach Art. 26",IF(COUNTA(C58:H58)=6,"keine Anbieter-/Betreiberrolle — Einführer-/Händlerpflichten (Art. 23, 24) prüfen","noch offen — bitte alle Fragen beantworten"))))))</f>
        <v/>
      </c>
      <c r="K58" s="12"/>
      <c r="L58" s="10"/>
    </row>
    <row r="59" customFormat="false" ht="25.5" hidden="false" customHeight="true" outlineLevel="0" collapsed="false">
      <c r="A59" s="7"/>
      <c r="B59" s="11" t="str">
        <f aca="false">IF(A59="","",IFERROR(INDEX('01_KI-Inventar'!$B$6:$B$65,MATCH(A59,'01_KI-Inventar'!$A$6:$A$65,0)),""))</f>
        <v/>
      </c>
      <c r="C59" s="7"/>
      <c r="D59" s="7"/>
      <c r="E59" s="7"/>
      <c r="F59" s="7"/>
      <c r="G59" s="7"/>
      <c r="H59" s="7"/>
      <c r="I59" s="11" t="str">
        <f aca="false">IF(A59="","",IF(OR(C59="Ja",E59="Ja",F59="Ja",G59="Ja",H59="Ja"),IF(D59="Ja","Anbieter und Betreiber","Anbieter"),IF(D59="Ja","Betreiber",IF(COUNTA(C59:H59)=6,"keine Anbieter-/Betreiberrolle","noch offen"))))</f>
        <v/>
      </c>
      <c r="J59" s="11" t="str">
        <f aca="false">IF(A59="","",IF(OR(E59="Ja",F59="Ja",G59="Ja",H59="Ja"),IF(D59="Ja","Rollenwechsel nach Art. 25 — Anbieterpflichten (Art. 16) UND Betreiberpflichten (Art. 26)","Rollenwechsel nach Art. 25 — volle Anbieterpflichten nach Art. 16"),IF(AND(C59="Ja",D59="Ja"),"Anbieterpflichten (Art. 16) UND Betreiberpflichten (Art. 26)",IF(C59="Ja","Anbieterpflichten nach Art. 16",IF(D59="Ja","Betreiberpflichten nach Art. 26",IF(COUNTA(C59:H59)=6,"keine Anbieter-/Betreiberrolle — Einführer-/Händlerpflichten (Art. 23, 24) prüfen","noch offen — bitte alle Fragen beantworten"))))))</f>
        <v/>
      </c>
      <c r="K59" s="12"/>
      <c r="L59" s="10"/>
    </row>
    <row r="60" customFormat="false" ht="25.5" hidden="false" customHeight="true" outlineLevel="0" collapsed="false">
      <c r="A60" s="7"/>
      <c r="B60" s="11" t="str">
        <f aca="false">IF(A60="","",IFERROR(INDEX('01_KI-Inventar'!$B$6:$B$65,MATCH(A60,'01_KI-Inventar'!$A$6:$A$65,0)),""))</f>
        <v/>
      </c>
      <c r="C60" s="7"/>
      <c r="D60" s="7"/>
      <c r="E60" s="7"/>
      <c r="F60" s="7"/>
      <c r="G60" s="7"/>
      <c r="H60" s="7"/>
      <c r="I60" s="11" t="str">
        <f aca="false">IF(A60="","",IF(OR(C60="Ja",E60="Ja",F60="Ja",G60="Ja",H60="Ja"),IF(D60="Ja","Anbieter und Betreiber","Anbieter"),IF(D60="Ja","Betreiber",IF(COUNTA(C60:H60)=6,"keine Anbieter-/Betreiberrolle","noch offen"))))</f>
        <v/>
      </c>
      <c r="J60" s="11" t="str">
        <f aca="false">IF(A60="","",IF(OR(E60="Ja",F60="Ja",G60="Ja",H60="Ja"),IF(D60="Ja","Rollenwechsel nach Art. 25 — Anbieterpflichten (Art. 16) UND Betreiberpflichten (Art. 26)","Rollenwechsel nach Art. 25 — volle Anbieterpflichten nach Art. 16"),IF(AND(C60="Ja",D60="Ja"),"Anbieterpflichten (Art. 16) UND Betreiberpflichten (Art. 26)",IF(C60="Ja","Anbieterpflichten nach Art. 16",IF(D60="Ja","Betreiberpflichten nach Art. 26",IF(COUNTA(C60:H60)=6,"keine Anbieter-/Betreiberrolle — Einführer-/Händlerpflichten (Art. 23, 24) prüfen","noch offen — bitte alle Fragen beantworten"))))))</f>
        <v/>
      </c>
      <c r="K60" s="12"/>
      <c r="L60" s="10"/>
    </row>
    <row r="61" customFormat="false" ht="25.5" hidden="false" customHeight="true" outlineLevel="0" collapsed="false">
      <c r="A61" s="7"/>
      <c r="B61" s="11" t="str">
        <f aca="false">IF(A61="","",IFERROR(INDEX('01_KI-Inventar'!$B$6:$B$65,MATCH(A61,'01_KI-Inventar'!$A$6:$A$65,0)),""))</f>
        <v/>
      </c>
      <c r="C61" s="7"/>
      <c r="D61" s="7"/>
      <c r="E61" s="7"/>
      <c r="F61" s="7"/>
      <c r="G61" s="7"/>
      <c r="H61" s="7"/>
      <c r="I61" s="11" t="str">
        <f aca="false">IF(A61="","",IF(OR(C61="Ja",E61="Ja",F61="Ja",G61="Ja",H61="Ja"),IF(D61="Ja","Anbieter und Betreiber","Anbieter"),IF(D61="Ja","Betreiber",IF(COUNTA(C61:H61)=6,"keine Anbieter-/Betreiberrolle","noch offen"))))</f>
        <v/>
      </c>
      <c r="J61" s="11" t="str">
        <f aca="false">IF(A61="","",IF(OR(E61="Ja",F61="Ja",G61="Ja",H61="Ja"),IF(D61="Ja","Rollenwechsel nach Art. 25 — Anbieterpflichten (Art. 16) UND Betreiberpflichten (Art. 26)","Rollenwechsel nach Art. 25 — volle Anbieterpflichten nach Art. 16"),IF(AND(C61="Ja",D61="Ja"),"Anbieterpflichten (Art. 16) UND Betreiberpflichten (Art. 26)",IF(C61="Ja","Anbieterpflichten nach Art. 16",IF(D61="Ja","Betreiberpflichten nach Art. 26",IF(COUNTA(C61:H61)=6,"keine Anbieter-/Betreiberrolle — Einführer-/Händlerpflichten (Art. 23, 24) prüfen","noch offen — bitte alle Fragen beantworten"))))))</f>
        <v/>
      </c>
      <c r="K61" s="12"/>
      <c r="L61" s="10"/>
    </row>
    <row r="62" customFormat="false" ht="25.5" hidden="false" customHeight="true" outlineLevel="0" collapsed="false">
      <c r="A62" s="7"/>
      <c r="B62" s="11" t="str">
        <f aca="false">IF(A62="","",IFERROR(INDEX('01_KI-Inventar'!$B$6:$B$65,MATCH(A62,'01_KI-Inventar'!$A$6:$A$65,0)),""))</f>
        <v/>
      </c>
      <c r="C62" s="7"/>
      <c r="D62" s="7"/>
      <c r="E62" s="7"/>
      <c r="F62" s="7"/>
      <c r="G62" s="7"/>
      <c r="H62" s="7"/>
      <c r="I62" s="11" t="str">
        <f aca="false">IF(A62="","",IF(OR(C62="Ja",E62="Ja",F62="Ja",G62="Ja",H62="Ja"),IF(D62="Ja","Anbieter und Betreiber","Anbieter"),IF(D62="Ja","Betreiber",IF(COUNTA(C62:H62)=6,"keine Anbieter-/Betreiberrolle","noch offen"))))</f>
        <v/>
      </c>
      <c r="J62" s="11" t="str">
        <f aca="false">IF(A62="","",IF(OR(E62="Ja",F62="Ja",G62="Ja",H62="Ja"),IF(D62="Ja","Rollenwechsel nach Art. 25 — Anbieterpflichten (Art. 16) UND Betreiberpflichten (Art. 26)","Rollenwechsel nach Art. 25 — volle Anbieterpflichten nach Art. 16"),IF(AND(C62="Ja",D62="Ja"),"Anbieterpflichten (Art. 16) UND Betreiberpflichten (Art. 26)",IF(C62="Ja","Anbieterpflichten nach Art. 16",IF(D62="Ja","Betreiberpflichten nach Art. 26",IF(COUNTA(C62:H62)=6,"keine Anbieter-/Betreiberrolle — Einführer-/Händlerpflichten (Art. 23, 24) prüfen","noch offen — bitte alle Fragen beantworten"))))))</f>
        <v/>
      </c>
      <c r="K62" s="12"/>
      <c r="L62" s="10"/>
    </row>
    <row r="63" customFormat="false" ht="25.5" hidden="false" customHeight="true" outlineLevel="0" collapsed="false">
      <c r="A63" s="7"/>
      <c r="B63" s="11" t="str">
        <f aca="false">IF(A63="","",IFERROR(INDEX('01_KI-Inventar'!$B$6:$B$65,MATCH(A63,'01_KI-Inventar'!$A$6:$A$65,0)),""))</f>
        <v/>
      </c>
      <c r="C63" s="7"/>
      <c r="D63" s="7"/>
      <c r="E63" s="7"/>
      <c r="F63" s="7"/>
      <c r="G63" s="7"/>
      <c r="H63" s="7"/>
      <c r="I63" s="11" t="str">
        <f aca="false">IF(A63="","",IF(OR(C63="Ja",E63="Ja",F63="Ja",G63="Ja",H63="Ja"),IF(D63="Ja","Anbieter und Betreiber","Anbieter"),IF(D63="Ja","Betreiber",IF(COUNTA(C63:H63)=6,"keine Anbieter-/Betreiberrolle","noch offen"))))</f>
        <v/>
      </c>
      <c r="J63" s="11" t="str">
        <f aca="false">IF(A63="","",IF(OR(E63="Ja",F63="Ja",G63="Ja",H63="Ja"),IF(D63="Ja","Rollenwechsel nach Art. 25 — Anbieterpflichten (Art. 16) UND Betreiberpflichten (Art. 26)","Rollenwechsel nach Art. 25 — volle Anbieterpflichten nach Art. 16"),IF(AND(C63="Ja",D63="Ja"),"Anbieterpflichten (Art. 16) UND Betreiberpflichten (Art. 26)",IF(C63="Ja","Anbieterpflichten nach Art. 16",IF(D63="Ja","Betreiberpflichten nach Art. 26",IF(COUNTA(C63:H63)=6,"keine Anbieter-/Betreiberrolle — Einführer-/Händlerpflichten (Art. 23, 24) prüfen","noch offen — bitte alle Fragen beantworten"))))))</f>
        <v/>
      </c>
      <c r="K63" s="12"/>
      <c r="L63" s="10"/>
    </row>
    <row r="64" customFormat="false" ht="25.5" hidden="false" customHeight="true" outlineLevel="0" collapsed="false">
      <c r="A64" s="7"/>
      <c r="B64" s="11" t="str">
        <f aca="false">IF(A64="","",IFERROR(INDEX('01_KI-Inventar'!$B$6:$B$65,MATCH(A64,'01_KI-Inventar'!$A$6:$A$65,0)),""))</f>
        <v/>
      </c>
      <c r="C64" s="7"/>
      <c r="D64" s="7"/>
      <c r="E64" s="7"/>
      <c r="F64" s="7"/>
      <c r="G64" s="7"/>
      <c r="H64" s="7"/>
      <c r="I64" s="11" t="str">
        <f aca="false">IF(A64="","",IF(OR(C64="Ja",E64="Ja",F64="Ja",G64="Ja",H64="Ja"),IF(D64="Ja","Anbieter und Betreiber","Anbieter"),IF(D64="Ja","Betreiber",IF(COUNTA(C64:H64)=6,"keine Anbieter-/Betreiberrolle","noch offen"))))</f>
        <v/>
      </c>
      <c r="J64" s="11" t="str">
        <f aca="false">IF(A64="","",IF(OR(E64="Ja",F64="Ja",G64="Ja",H64="Ja"),IF(D64="Ja","Rollenwechsel nach Art. 25 — Anbieterpflichten (Art. 16) UND Betreiberpflichten (Art. 26)","Rollenwechsel nach Art. 25 — volle Anbieterpflichten nach Art. 16"),IF(AND(C64="Ja",D64="Ja"),"Anbieterpflichten (Art. 16) UND Betreiberpflichten (Art. 26)",IF(C64="Ja","Anbieterpflichten nach Art. 16",IF(D64="Ja","Betreiberpflichten nach Art. 26",IF(COUNTA(C64:H64)=6,"keine Anbieter-/Betreiberrolle — Einführer-/Händlerpflichten (Art. 23, 24) prüfen","noch offen — bitte alle Fragen beantworten"))))))</f>
        <v/>
      </c>
      <c r="K64" s="12"/>
      <c r="L64" s="10"/>
    </row>
    <row r="65" customFormat="false" ht="25.5" hidden="false" customHeight="true" outlineLevel="0" collapsed="false">
      <c r="A65" s="7"/>
      <c r="B65" s="11" t="str">
        <f aca="false">IF(A65="","",IFERROR(INDEX('01_KI-Inventar'!$B$6:$B$65,MATCH(A65,'01_KI-Inventar'!$A$6:$A$65,0)),""))</f>
        <v/>
      </c>
      <c r="C65" s="7"/>
      <c r="D65" s="7"/>
      <c r="E65" s="7"/>
      <c r="F65" s="7"/>
      <c r="G65" s="7"/>
      <c r="H65" s="7"/>
      <c r="I65" s="11" t="str">
        <f aca="false">IF(A65="","",IF(OR(C65="Ja",E65="Ja",F65="Ja",G65="Ja",H65="Ja"),IF(D65="Ja","Anbieter und Betreiber","Anbieter"),IF(D65="Ja","Betreiber",IF(COUNTA(C65:H65)=6,"keine Anbieter-/Betreiberrolle","noch offen"))))</f>
        <v/>
      </c>
      <c r="J65" s="11" t="str">
        <f aca="false">IF(A65="","",IF(OR(E65="Ja",F65="Ja",G65="Ja",H65="Ja"),IF(D65="Ja","Rollenwechsel nach Art. 25 — Anbieterpflichten (Art. 16) UND Betreiberpflichten (Art. 26)","Rollenwechsel nach Art. 25 — volle Anbieterpflichten nach Art. 16"),IF(AND(C65="Ja",D65="Ja"),"Anbieterpflichten (Art. 16) UND Betreiberpflichten (Art. 26)",IF(C65="Ja","Anbieterpflichten nach Art. 16",IF(D65="Ja","Betreiberpflichten nach Art. 26",IF(COUNTA(C65:H65)=6,"keine Anbieter-/Betreiberrolle — Einführer-/Händlerpflichten (Art. 23, 24) prüfen","noch offen — bitte alle Fragen beantworten"))))))</f>
        <v/>
      </c>
      <c r="K65" s="12"/>
      <c r="L65" s="10"/>
    </row>
  </sheetData>
  <mergeCells count="2">
    <mergeCell ref="A1:K1"/>
    <mergeCell ref="A2:K2"/>
  </mergeCells>
  <conditionalFormatting sqref="J6:J65">
    <cfRule type="expression" priority="2" aboveAverage="0" equalAverage="0" bottom="0" percent="0" rank="0" text="" dxfId="0">
      <formula>ISNUMBER(SEARCH("Rollenwechsel",J6))</formula>
    </cfRule>
  </conditionalFormatting>
  <dataValidations count="7">
    <dataValidation allowBlank="true" error="Bitte einen Wert aus der Liste wählen. Freitext führt zu falschen Einstufungen." errorStyle="stop" errorTitle="Ungültige Eingabe" operator="between" showDropDown="false" showErrorMessage="true" showInputMessage="false" sqref="A6:A65" type="list">
      <formula1>'01_KI-Inventar'!$A$6:$A$65</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C6:C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D6:D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E6:E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F6:F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G6:G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H6:H65" type="list">
      <formula1>'08_Register'!$A$5:$A$7</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6"/>
    <col collapsed="false" customWidth="true" hidden="false" outlineLevel="0" max="4" min="4" style="0" width="28"/>
    <col collapsed="false" customWidth="true" hidden="false" outlineLevel="0" max="5" min="5" style="0" width="20"/>
    <col collapsed="false" customWidth="true" hidden="false" outlineLevel="0" max="6" min="6" style="0" width="30"/>
    <col collapsed="false" customWidth="true" hidden="false" outlineLevel="0" max="7" min="7" style="0" width="32"/>
    <col collapsed="false" customWidth="true" hidden="false" outlineLevel="0" max="8" min="8" style="0" width="20"/>
    <col collapsed="false" customWidth="true" hidden="false" outlineLevel="0" max="9" min="9" style="0" width="26"/>
    <col collapsed="false" customWidth="true" hidden="false" outlineLevel="0" max="10" min="10" style="0" width="30"/>
    <col collapsed="false" customWidth="true" hidden="false" outlineLevel="0" max="12" min="11" style="0" width="34"/>
    <col collapsed="false" customWidth="true" hidden="false" outlineLevel="0" max="13" min="13" style="0" width="32"/>
    <col collapsed="false" customWidth="true" hidden="false" outlineLevel="0" max="14" min="14" style="0" width="22"/>
    <col collapsed="false" customWidth="true" hidden="false" outlineLevel="0" max="15" min="15" style="0" width="16"/>
    <col collapsed="false" customWidth="true" hidden="false" outlineLevel="0" max="16" min="16" style="0" width="26"/>
    <col collapsed="false" customWidth="true" hidden="false" outlineLevel="0" max="17" min="17" style="0" width="46"/>
    <col collapsed="false" customWidth="true" hidden="false" outlineLevel="0" max="18" min="18" style="0" width="15"/>
    <col collapsed="false" customWidth="true" hidden="false" outlineLevel="0" max="19" min="19" style="0" width="18"/>
    <col collapsed="false" customWidth="true" hidden="false" outlineLevel="0" max="20" min="20" style="0" width="20"/>
  </cols>
  <sheetData>
    <row r="1" customFormat="false" ht="24" hidden="false" customHeight="true" outlineLevel="0" collapsed="false">
      <c r="A1" s="1" t="s">
        <v>98</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99</v>
      </c>
      <c r="B2" s="2"/>
      <c r="C2" s="2"/>
      <c r="D2" s="2"/>
      <c r="E2" s="2"/>
      <c r="F2" s="2"/>
      <c r="G2" s="2"/>
      <c r="H2" s="2"/>
      <c r="I2" s="2"/>
      <c r="J2" s="2"/>
      <c r="K2" s="2"/>
      <c r="L2" s="2"/>
      <c r="M2" s="2"/>
      <c r="N2" s="2"/>
      <c r="O2" s="2"/>
      <c r="P2" s="2"/>
      <c r="Q2" s="2"/>
      <c r="R2" s="2"/>
      <c r="S2" s="2"/>
      <c r="T2" s="2"/>
    </row>
    <row r="5" customFormat="false" ht="78" hidden="false" customHeight="true" outlineLevel="0" collapsed="false">
      <c r="A5" s="9" t="s">
        <v>74</v>
      </c>
      <c r="B5" s="9" t="s">
        <v>87</v>
      </c>
      <c r="C5" s="9" t="s">
        <v>100</v>
      </c>
      <c r="D5" s="9" t="s">
        <v>101</v>
      </c>
      <c r="E5" s="9" t="s">
        <v>102</v>
      </c>
      <c r="F5" s="9" t="s">
        <v>103</v>
      </c>
      <c r="G5" s="9" t="s">
        <v>104</v>
      </c>
      <c r="H5" s="9" t="s">
        <v>105</v>
      </c>
      <c r="I5" s="9" t="s">
        <v>106</v>
      </c>
      <c r="J5" s="9" t="s">
        <v>107</v>
      </c>
      <c r="K5" s="9" t="s">
        <v>108</v>
      </c>
      <c r="L5" s="9" t="s">
        <v>109</v>
      </c>
      <c r="M5" s="9" t="s">
        <v>110</v>
      </c>
      <c r="N5" s="9" t="s">
        <v>111</v>
      </c>
      <c r="O5" s="9" t="s">
        <v>112</v>
      </c>
      <c r="P5" s="9" t="s">
        <v>113</v>
      </c>
      <c r="Q5" s="9" t="s">
        <v>114</v>
      </c>
      <c r="R5" s="9" t="s">
        <v>115</v>
      </c>
      <c r="S5" s="9" t="s">
        <v>97</v>
      </c>
      <c r="T5" s="9" t="s">
        <v>116</v>
      </c>
    </row>
    <row r="6" customFormat="false" ht="25.5" hidden="false" customHeight="true" outlineLevel="0" collapsed="false">
      <c r="A6" s="7"/>
      <c r="B6" s="11" t="str">
        <f aca="false">IF(A6="","",IFERROR(INDEX('01_KI-Inventar'!$B$6:$B$65,MATCH(A6,'01_KI-Inventar'!$A$6:$A$65,0)),""))</f>
        <v/>
      </c>
      <c r="C6" s="7"/>
      <c r="D6" s="7"/>
      <c r="E6" s="7"/>
      <c r="F6" s="10"/>
      <c r="G6" s="7"/>
      <c r="H6" s="7"/>
      <c r="I6" s="7"/>
      <c r="J6" s="7"/>
      <c r="K6" s="11" t="str">
        <f aca="false">IF(A6="","",IF(OR(C6="",D6="",G6="",J6="",COUNTIF(C6:D6,"Prüfung offen")&gt;0,COUNTIF(H6:I6,"Prüfung offen")&gt;0,AND(D6="Ja",OR(E6="",E6="noch offen")),AND(G6&lt;&gt;"keiner",OR(H6="",AND(H6&lt;&gt;"Ja",I6="")))),"noch offen — Angaben unvollständig",IF(C6="Ja","VERBOTEN (Art. 5)",IF(AND(D6="Ja",E6="Abschnitt B",G6&lt;&gt;"keiner"),"Hochrisiko Anhang I Abschnitt B UND Anhang III — gesondert prüfen",IF(AND(D6="Ja",E6="Abschnitt B"),"Hochrisiko Anhang I Abschnitt B (Sektorrecht)",IF(AND(D6="Ja",G6&lt;&gt;"keiner"),"Hochrisiko Anhang I Abschnitt A und Anhang III",IF(D6="Ja","Hochrisiko Anhang I Abschnitt A",IF(G6&lt;&gt;"keiner",IF(H6="Ja","Hochrisiko Anhang III",IF(I6="Ja","Kein Hochrisiko (Art. 6 Abs. 3)","Hochrisiko Anhang III")),IF(J6&lt;&gt;"keiner","Transparenzpflicht (Art. 50)","Geringes Risiko")))))))))</f>
        <v/>
      </c>
      <c r="L6" s="11" t="str">
        <f aca="false">IF(K6="","",IF(K6="VERBOTEN (Art. 5)","02.02.2025 (NCII/CSAM: 02.12.2026)",IF(LEFT(K6,10)="noch offen","keine Frist — Einstufung zuerst abschließen",IF(K6="Hochrisiko Anhang I Abschnitt B (Sektorrecht)","Kapitel III gilt nicht. Es gelten nur Art. 6 Abs. 1, Art. 60a und Art. 102–112 (Art. 2 Abs. 2 n. F.). Frist und Pflichten folgen aus dem Sektorrecht — bei Maschinen: Anhang III VO (EU) 2023/1230, delegierter Rechtsakt ab 02.08.2028.",IF(K6="Hochrisiko Anhang I Abschnitt B UND Anhang III — gesondert prüfen","Uneinheitlich: Für den Anhang-I-Teil gilt Art. 2 Abs. 2 n. F. (nur Art. 6 Abs. 1, 60a, 102–112), für den Anhang-III-Teil der 02.12.2027. Juristisch klären.",IF(K6="Hochrisiko Anhang I Abschnitt A und Anhang III","02.12.2027 (Anhang III) / 02.08.2028 (Anhang I Abschnitt A) — Planungsannahme",IF(K6="Hochrisiko Anhang I Abschnitt A","02.08.2028 — Planungsannahme; Vorbehalt delegierter Rechtsakte nach Art. 2 Abs. 13 n. F. (bis 02.08.2027)",IF(K6="Hochrisiko Anhang III","02.12.2027 — Planungsannahme",IF(K6="Transparenzpflicht (Art. 50)","02.08.2026",IF(K6="Kein Hochrisiko (Art. 6 Abs. 3)","Registrierung nach Art. 49 Abs. 2; Bewertung VOR Inverkehrbringen dokumentieren","keine besonderen Pflichten aus den hier geprüften Kategorien — Art. 4 und übriges Recht (DSGVO, Arbeitsrecht, Urheberrecht) weiter prüfen"))))))))))</f>
        <v/>
      </c>
      <c r="M6" s="11" t="str">
        <f aca="false">IF(K6="","",IF(LEFT(K6,10)="noch offen","noch offen",IF(K6="Kein Hochrisiko (Art. 6 Abs. 3)","Ja — Art. 49 Abs. 2 (Anbieter); Bewertung VOR Inverkehrbringen dokumentieren (Art. 6 Abs. 4)",IF(K6="Hochrisiko Anhang I Abschnitt B (Sektorrecht)","Nein — Art. 49 ist nach Art. 2 Abs. 2 n. F. nicht anwendbar",IF(K6="Hochrisiko Anhang I Abschnitt A","Nein — Art. 49 Abs. 1 gilt nur für Anhang III",IF(AND(LEFT(G6,1)="2",ISNUMBER(SEARCH("Anhang III",K6))),"Nein — Registrierung auf nationaler Ebene (Art. 49 Abs. 5)",IF(ISNUMBER(SEARCH("Anhang III",K6)),"Ja — Art. 49 Abs. 1 (Anbieter); Behörden als Betreiber: Art. 49 Abs. 3","Nein")))))))</f>
        <v/>
      </c>
      <c r="N6" s="11" t="str">
        <f aca="false">IF(A6="","",IF(K6="VERBOTEN (Art. 5)","entfällt — Einsatz unzulässig",IF(K6="Hochrisiko Anhang I Abschnitt B (Sektorrecht)","Nein — Art. 50 ist nach Art. 2 Abs. 2 n. F. nicht anwendbar",IF(AND(J6&lt;&gt;"",J6&lt;&gt;"keiner"),"Ja — Art. 50 gilt zusätzlich ab 02.08.2026","Nein"))))</f>
        <v/>
      </c>
      <c r="O6" s="7"/>
      <c r="P6" s="11" t="str">
        <f aca="false">IF(K6="","",IF(LEFT(K6,10)="noch offen","Prüfung unvollständig",IF(O6="Ja","Einstufung bestätigt",IF(O6="Nein","Juristische Prüfung erforderlich","Arbeitsannahme — nicht bestätigt"))))</f>
        <v/>
      </c>
      <c r="Q6" s="10"/>
      <c r="R6" s="12"/>
      <c r="S6" s="10"/>
      <c r="T6" s="10"/>
    </row>
    <row r="7" customFormat="false" ht="25.5" hidden="false" customHeight="true" outlineLevel="0" collapsed="false">
      <c r="A7" s="7"/>
      <c r="B7" s="11" t="str">
        <f aca="false">IF(A7="","",IFERROR(INDEX('01_KI-Inventar'!$B$6:$B$65,MATCH(A7,'01_KI-Inventar'!$A$6:$A$65,0)),""))</f>
        <v/>
      </c>
      <c r="C7" s="7"/>
      <c r="D7" s="7"/>
      <c r="E7" s="7"/>
      <c r="F7" s="10"/>
      <c r="G7" s="7"/>
      <c r="H7" s="7"/>
      <c r="I7" s="7"/>
      <c r="J7" s="7"/>
      <c r="K7" s="11" t="str">
        <f aca="false">IF(A7="","",IF(OR(C7="",D7="",G7="",J7="",COUNTIF(C7:D7,"Prüfung offen")&gt;0,COUNTIF(H7:I7,"Prüfung offen")&gt;0,AND(D7="Ja",OR(E7="",E7="noch offen")),AND(G7&lt;&gt;"keiner",OR(H7="",AND(H7&lt;&gt;"Ja",I7="")))),"noch offen — Angaben unvollständig",IF(C7="Ja","VERBOTEN (Art. 5)",IF(AND(D7="Ja",E7="Abschnitt B",G7&lt;&gt;"keiner"),"Hochrisiko Anhang I Abschnitt B UND Anhang III — gesondert prüfen",IF(AND(D7="Ja",E7="Abschnitt B"),"Hochrisiko Anhang I Abschnitt B (Sektorrecht)",IF(AND(D7="Ja",G7&lt;&gt;"keiner"),"Hochrisiko Anhang I Abschnitt A und Anhang III",IF(D7="Ja","Hochrisiko Anhang I Abschnitt A",IF(G7&lt;&gt;"keiner",IF(H7="Ja","Hochrisiko Anhang III",IF(I7="Ja","Kein Hochrisiko (Art. 6 Abs. 3)","Hochrisiko Anhang III")),IF(J7&lt;&gt;"keiner","Transparenzpflicht (Art. 50)","Geringes Risiko")))))))))</f>
        <v/>
      </c>
      <c r="L7" s="11" t="str">
        <f aca="false">IF(K7="","",IF(K7="VERBOTEN (Art. 5)","02.02.2025 (NCII/CSAM: 02.12.2026)",IF(LEFT(K7,10)="noch offen","keine Frist — Einstufung zuerst abschließen",IF(K7="Hochrisiko Anhang I Abschnitt B (Sektorrecht)","Kapitel III gilt nicht. Es gelten nur Art. 6 Abs. 1, Art. 60a und Art. 102–112 (Art. 2 Abs. 2 n. F.). Frist und Pflichten folgen aus dem Sektorrecht — bei Maschinen: Anhang III VO (EU) 2023/1230, delegierter Rechtsakt ab 02.08.2028.",IF(K7="Hochrisiko Anhang I Abschnitt B UND Anhang III — gesondert prüfen","Uneinheitlich: Für den Anhang-I-Teil gilt Art. 2 Abs. 2 n. F. (nur Art. 6 Abs. 1, 60a, 102–112), für den Anhang-III-Teil der 02.12.2027. Juristisch klären.",IF(K7="Hochrisiko Anhang I Abschnitt A und Anhang III","02.12.2027 (Anhang III) / 02.08.2028 (Anhang I Abschnitt A) — Planungsannahme",IF(K7="Hochrisiko Anhang I Abschnitt A","02.08.2028 — Planungsannahme; Vorbehalt delegierter Rechtsakte nach Art. 2 Abs. 13 n. F. (bis 02.08.2027)",IF(K7="Hochrisiko Anhang III","02.12.2027 — Planungsannahme",IF(K7="Transparenzpflicht (Art. 50)","02.08.2026",IF(K7="Kein Hochrisiko (Art. 6 Abs. 3)","Registrierung nach Art. 49 Abs. 2; Bewertung VOR Inverkehrbringen dokumentieren","keine besonderen Pflichten aus den hier geprüften Kategorien — Art. 4 und übriges Recht (DSGVO, Arbeitsrecht, Urheberrecht) weiter prüfen"))))))))))</f>
        <v/>
      </c>
      <c r="M7" s="11" t="str">
        <f aca="false">IF(K7="","",IF(LEFT(K7,10)="noch offen","noch offen",IF(K7="Kein Hochrisiko (Art. 6 Abs. 3)","Ja — Art. 49 Abs. 2 (Anbieter); Bewertung VOR Inverkehrbringen dokumentieren (Art. 6 Abs. 4)",IF(K7="Hochrisiko Anhang I Abschnitt B (Sektorrecht)","Nein — Art. 49 ist nach Art. 2 Abs. 2 n. F. nicht anwendbar",IF(K7="Hochrisiko Anhang I Abschnitt A","Nein — Art. 49 Abs. 1 gilt nur für Anhang III",IF(AND(LEFT(G7,1)="2",ISNUMBER(SEARCH("Anhang III",K7))),"Nein — Registrierung auf nationaler Ebene (Art. 49 Abs. 5)",IF(ISNUMBER(SEARCH("Anhang III",K7)),"Ja — Art. 49 Abs. 1 (Anbieter); Behörden als Betreiber: Art. 49 Abs. 3","Nein")))))))</f>
        <v/>
      </c>
      <c r="N7" s="11" t="str">
        <f aca="false">IF(A7="","",IF(K7="VERBOTEN (Art. 5)","entfällt — Einsatz unzulässig",IF(K7="Hochrisiko Anhang I Abschnitt B (Sektorrecht)","Nein — Art. 50 ist nach Art. 2 Abs. 2 n. F. nicht anwendbar",IF(AND(J7&lt;&gt;"",J7&lt;&gt;"keiner"),"Ja — Art. 50 gilt zusätzlich ab 02.08.2026","Nein"))))</f>
        <v/>
      </c>
      <c r="O7" s="7"/>
      <c r="P7" s="11" t="str">
        <f aca="false">IF(K7="","",IF(LEFT(K7,10)="noch offen","Prüfung unvollständig",IF(O7="Ja","Einstufung bestätigt",IF(O7="Nein","Juristische Prüfung erforderlich","Arbeitsannahme — nicht bestätigt"))))</f>
        <v/>
      </c>
      <c r="Q7" s="10"/>
      <c r="R7" s="12"/>
      <c r="S7" s="10"/>
      <c r="T7" s="10"/>
    </row>
    <row r="8" customFormat="false" ht="25.5" hidden="false" customHeight="true" outlineLevel="0" collapsed="false">
      <c r="A8" s="7"/>
      <c r="B8" s="11" t="str">
        <f aca="false">IF(A8="","",IFERROR(INDEX('01_KI-Inventar'!$B$6:$B$65,MATCH(A8,'01_KI-Inventar'!$A$6:$A$65,0)),""))</f>
        <v/>
      </c>
      <c r="C8" s="7"/>
      <c r="D8" s="7"/>
      <c r="E8" s="7"/>
      <c r="F8" s="10"/>
      <c r="G8" s="7"/>
      <c r="H8" s="7"/>
      <c r="I8" s="7"/>
      <c r="J8" s="7"/>
      <c r="K8" s="11" t="str">
        <f aca="false">IF(A8="","",IF(OR(C8="",D8="",G8="",J8="",COUNTIF(C8:D8,"Prüfung offen")&gt;0,COUNTIF(H8:I8,"Prüfung offen")&gt;0,AND(D8="Ja",OR(E8="",E8="noch offen")),AND(G8&lt;&gt;"keiner",OR(H8="",AND(H8&lt;&gt;"Ja",I8="")))),"noch offen — Angaben unvollständig",IF(C8="Ja","VERBOTEN (Art. 5)",IF(AND(D8="Ja",E8="Abschnitt B",G8&lt;&gt;"keiner"),"Hochrisiko Anhang I Abschnitt B UND Anhang III — gesondert prüfen",IF(AND(D8="Ja",E8="Abschnitt B"),"Hochrisiko Anhang I Abschnitt B (Sektorrecht)",IF(AND(D8="Ja",G8&lt;&gt;"keiner"),"Hochrisiko Anhang I Abschnitt A und Anhang III",IF(D8="Ja","Hochrisiko Anhang I Abschnitt A",IF(G8&lt;&gt;"keiner",IF(H8="Ja","Hochrisiko Anhang III",IF(I8="Ja","Kein Hochrisiko (Art. 6 Abs. 3)","Hochrisiko Anhang III")),IF(J8&lt;&gt;"keiner","Transparenzpflicht (Art. 50)","Geringes Risiko")))))))))</f>
        <v/>
      </c>
      <c r="L8" s="11" t="str">
        <f aca="false">IF(K8="","",IF(K8="VERBOTEN (Art. 5)","02.02.2025 (NCII/CSAM: 02.12.2026)",IF(LEFT(K8,10)="noch offen","keine Frist — Einstufung zuerst abschließen",IF(K8="Hochrisiko Anhang I Abschnitt B (Sektorrecht)","Kapitel III gilt nicht. Es gelten nur Art. 6 Abs. 1, Art. 60a und Art. 102–112 (Art. 2 Abs. 2 n. F.). Frist und Pflichten folgen aus dem Sektorrecht — bei Maschinen: Anhang III VO (EU) 2023/1230, delegierter Rechtsakt ab 02.08.2028.",IF(K8="Hochrisiko Anhang I Abschnitt B UND Anhang III — gesondert prüfen","Uneinheitlich: Für den Anhang-I-Teil gilt Art. 2 Abs. 2 n. F. (nur Art. 6 Abs. 1, 60a, 102–112), für den Anhang-III-Teil der 02.12.2027. Juristisch klären.",IF(K8="Hochrisiko Anhang I Abschnitt A und Anhang III","02.12.2027 (Anhang III) / 02.08.2028 (Anhang I Abschnitt A) — Planungsannahme",IF(K8="Hochrisiko Anhang I Abschnitt A","02.08.2028 — Planungsannahme; Vorbehalt delegierter Rechtsakte nach Art. 2 Abs. 13 n. F. (bis 02.08.2027)",IF(K8="Hochrisiko Anhang III","02.12.2027 — Planungsannahme",IF(K8="Transparenzpflicht (Art. 50)","02.08.2026",IF(K8="Kein Hochrisiko (Art. 6 Abs. 3)","Registrierung nach Art. 49 Abs. 2; Bewertung VOR Inverkehrbringen dokumentieren","keine besonderen Pflichten aus den hier geprüften Kategorien — Art. 4 und übriges Recht (DSGVO, Arbeitsrecht, Urheberrecht) weiter prüfen"))))))))))</f>
        <v/>
      </c>
      <c r="M8" s="11" t="str">
        <f aca="false">IF(K8="","",IF(LEFT(K8,10)="noch offen","noch offen",IF(K8="Kein Hochrisiko (Art. 6 Abs. 3)","Ja — Art. 49 Abs. 2 (Anbieter); Bewertung VOR Inverkehrbringen dokumentieren (Art. 6 Abs. 4)",IF(K8="Hochrisiko Anhang I Abschnitt B (Sektorrecht)","Nein — Art. 49 ist nach Art. 2 Abs. 2 n. F. nicht anwendbar",IF(K8="Hochrisiko Anhang I Abschnitt A","Nein — Art. 49 Abs. 1 gilt nur für Anhang III",IF(AND(LEFT(G8,1)="2",ISNUMBER(SEARCH("Anhang III",K8))),"Nein — Registrierung auf nationaler Ebene (Art. 49 Abs. 5)",IF(ISNUMBER(SEARCH("Anhang III",K8)),"Ja — Art. 49 Abs. 1 (Anbieter); Behörden als Betreiber: Art. 49 Abs. 3","Nein")))))))</f>
        <v/>
      </c>
      <c r="N8" s="11" t="str">
        <f aca="false">IF(A8="","",IF(K8="VERBOTEN (Art. 5)","entfällt — Einsatz unzulässig",IF(K8="Hochrisiko Anhang I Abschnitt B (Sektorrecht)","Nein — Art. 50 ist nach Art. 2 Abs. 2 n. F. nicht anwendbar",IF(AND(J8&lt;&gt;"",J8&lt;&gt;"keiner"),"Ja — Art. 50 gilt zusätzlich ab 02.08.2026","Nein"))))</f>
        <v/>
      </c>
      <c r="O8" s="7"/>
      <c r="P8" s="11" t="str">
        <f aca="false">IF(K8="","",IF(LEFT(K8,10)="noch offen","Prüfung unvollständig",IF(O8="Ja","Einstufung bestätigt",IF(O8="Nein","Juristische Prüfung erforderlich","Arbeitsannahme — nicht bestätigt"))))</f>
        <v/>
      </c>
      <c r="Q8" s="10"/>
      <c r="R8" s="12"/>
      <c r="S8" s="10"/>
      <c r="T8" s="10"/>
    </row>
    <row r="9" customFormat="false" ht="25.5" hidden="false" customHeight="true" outlineLevel="0" collapsed="false">
      <c r="A9" s="7"/>
      <c r="B9" s="11" t="str">
        <f aca="false">IF(A9="","",IFERROR(INDEX('01_KI-Inventar'!$B$6:$B$65,MATCH(A9,'01_KI-Inventar'!$A$6:$A$65,0)),""))</f>
        <v/>
      </c>
      <c r="C9" s="7"/>
      <c r="D9" s="7"/>
      <c r="E9" s="7"/>
      <c r="F9" s="10"/>
      <c r="G9" s="7"/>
      <c r="H9" s="7"/>
      <c r="I9" s="7"/>
      <c r="J9" s="7"/>
      <c r="K9" s="11" t="str">
        <f aca="false">IF(A9="","",IF(OR(C9="",D9="",G9="",J9="",COUNTIF(C9:D9,"Prüfung offen")&gt;0,COUNTIF(H9:I9,"Prüfung offen")&gt;0,AND(D9="Ja",OR(E9="",E9="noch offen")),AND(G9&lt;&gt;"keiner",OR(H9="",AND(H9&lt;&gt;"Ja",I9="")))),"noch offen — Angaben unvollständig",IF(C9="Ja","VERBOTEN (Art. 5)",IF(AND(D9="Ja",E9="Abschnitt B",G9&lt;&gt;"keiner"),"Hochrisiko Anhang I Abschnitt B UND Anhang III — gesondert prüfen",IF(AND(D9="Ja",E9="Abschnitt B"),"Hochrisiko Anhang I Abschnitt B (Sektorrecht)",IF(AND(D9="Ja",G9&lt;&gt;"keiner"),"Hochrisiko Anhang I Abschnitt A und Anhang III",IF(D9="Ja","Hochrisiko Anhang I Abschnitt A",IF(G9&lt;&gt;"keiner",IF(H9="Ja","Hochrisiko Anhang III",IF(I9="Ja","Kein Hochrisiko (Art. 6 Abs. 3)","Hochrisiko Anhang III")),IF(J9&lt;&gt;"keiner","Transparenzpflicht (Art. 50)","Geringes Risiko")))))))))</f>
        <v/>
      </c>
      <c r="L9" s="11" t="str">
        <f aca="false">IF(K9="","",IF(K9="VERBOTEN (Art. 5)","02.02.2025 (NCII/CSAM: 02.12.2026)",IF(LEFT(K9,10)="noch offen","keine Frist — Einstufung zuerst abschließen",IF(K9="Hochrisiko Anhang I Abschnitt B (Sektorrecht)","Kapitel III gilt nicht. Es gelten nur Art. 6 Abs. 1, Art. 60a und Art. 102–112 (Art. 2 Abs. 2 n. F.). Frist und Pflichten folgen aus dem Sektorrecht — bei Maschinen: Anhang III VO (EU) 2023/1230, delegierter Rechtsakt ab 02.08.2028.",IF(K9="Hochrisiko Anhang I Abschnitt B UND Anhang III — gesondert prüfen","Uneinheitlich: Für den Anhang-I-Teil gilt Art. 2 Abs. 2 n. F. (nur Art. 6 Abs. 1, 60a, 102–112), für den Anhang-III-Teil der 02.12.2027. Juristisch klären.",IF(K9="Hochrisiko Anhang I Abschnitt A und Anhang III","02.12.2027 (Anhang III) / 02.08.2028 (Anhang I Abschnitt A) — Planungsannahme",IF(K9="Hochrisiko Anhang I Abschnitt A","02.08.2028 — Planungsannahme; Vorbehalt delegierter Rechtsakte nach Art. 2 Abs. 13 n. F. (bis 02.08.2027)",IF(K9="Hochrisiko Anhang III","02.12.2027 — Planungsannahme",IF(K9="Transparenzpflicht (Art. 50)","02.08.2026",IF(K9="Kein Hochrisiko (Art. 6 Abs. 3)","Registrierung nach Art. 49 Abs. 2; Bewertung VOR Inverkehrbringen dokumentieren","keine besonderen Pflichten aus den hier geprüften Kategorien — Art. 4 und übriges Recht (DSGVO, Arbeitsrecht, Urheberrecht) weiter prüfen"))))))))))</f>
        <v/>
      </c>
      <c r="M9" s="11" t="str">
        <f aca="false">IF(K9="","",IF(LEFT(K9,10)="noch offen","noch offen",IF(K9="Kein Hochrisiko (Art. 6 Abs. 3)","Ja — Art. 49 Abs. 2 (Anbieter); Bewertung VOR Inverkehrbringen dokumentieren (Art. 6 Abs. 4)",IF(K9="Hochrisiko Anhang I Abschnitt B (Sektorrecht)","Nein — Art. 49 ist nach Art. 2 Abs. 2 n. F. nicht anwendbar",IF(K9="Hochrisiko Anhang I Abschnitt A","Nein — Art. 49 Abs. 1 gilt nur für Anhang III",IF(AND(LEFT(G9,1)="2",ISNUMBER(SEARCH("Anhang III",K9))),"Nein — Registrierung auf nationaler Ebene (Art. 49 Abs. 5)",IF(ISNUMBER(SEARCH("Anhang III",K9)),"Ja — Art. 49 Abs. 1 (Anbieter); Behörden als Betreiber: Art. 49 Abs. 3","Nein")))))))</f>
        <v/>
      </c>
      <c r="N9" s="11" t="str">
        <f aca="false">IF(A9="","",IF(K9="VERBOTEN (Art. 5)","entfällt — Einsatz unzulässig",IF(K9="Hochrisiko Anhang I Abschnitt B (Sektorrecht)","Nein — Art. 50 ist nach Art. 2 Abs. 2 n. F. nicht anwendbar",IF(AND(J9&lt;&gt;"",J9&lt;&gt;"keiner"),"Ja — Art. 50 gilt zusätzlich ab 02.08.2026","Nein"))))</f>
        <v/>
      </c>
      <c r="O9" s="7"/>
      <c r="P9" s="11" t="str">
        <f aca="false">IF(K9="","",IF(LEFT(K9,10)="noch offen","Prüfung unvollständig",IF(O9="Ja","Einstufung bestätigt",IF(O9="Nein","Juristische Prüfung erforderlich","Arbeitsannahme — nicht bestätigt"))))</f>
        <v/>
      </c>
      <c r="Q9" s="10"/>
      <c r="R9" s="12"/>
      <c r="S9" s="10"/>
      <c r="T9" s="10"/>
    </row>
    <row r="10" customFormat="false" ht="25.5" hidden="false" customHeight="true" outlineLevel="0" collapsed="false">
      <c r="A10" s="7"/>
      <c r="B10" s="11" t="str">
        <f aca="false">IF(A10="","",IFERROR(INDEX('01_KI-Inventar'!$B$6:$B$65,MATCH(A10,'01_KI-Inventar'!$A$6:$A$65,0)),""))</f>
        <v/>
      </c>
      <c r="C10" s="7"/>
      <c r="D10" s="7"/>
      <c r="E10" s="7"/>
      <c r="F10" s="10"/>
      <c r="G10" s="7"/>
      <c r="H10" s="7"/>
      <c r="I10" s="7"/>
      <c r="J10" s="7"/>
      <c r="K10" s="11" t="str">
        <f aca="false">IF(A10="","",IF(OR(C10="",D10="",G10="",J10="",COUNTIF(C10:D10,"Prüfung offen")&gt;0,COUNTIF(H10:I10,"Prüfung offen")&gt;0,AND(D10="Ja",OR(E10="",E10="noch offen")),AND(G10&lt;&gt;"keiner",OR(H10="",AND(H10&lt;&gt;"Ja",I10="")))),"noch offen — Angaben unvollständig",IF(C10="Ja","VERBOTEN (Art. 5)",IF(AND(D10="Ja",E10="Abschnitt B",G10&lt;&gt;"keiner"),"Hochrisiko Anhang I Abschnitt B UND Anhang III — gesondert prüfen",IF(AND(D10="Ja",E10="Abschnitt B"),"Hochrisiko Anhang I Abschnitt B (Sektorrecht)",IF(AND(D10="Ja",G10&lt;&gt;"keiner"),"Hochrisiko Anhang I Abschnitt A und Anhang III",IF(D10="Ja","Hochrisiko Anhang I Abschnitt A",IF(G10&lt;&gt;"keiner",IF(H10="Ja","Hochrisiko Anhang III",IF(I10="Ja","Kein Hochrisiko (Art. 6 Abs. 3)","Hochrisiko Anhang III")),IF(J10&lt;&gt;"keiner","Transparenzpflicht (Art. 50)","Geringes Risiko")))))))))</f>
        <v/>
      </c>
      <c r="L10" s="11" t="str">
        <f aca="false">IF(K10="","",IF(K10="VERBOTEN (Art. 5)","02.02.2025 (NCII/CSAM: 02.12.2026)",IF(LEFT(K10,10)="noch offen","keine Frist — Einstufung zuerst abschließen",IF(K10="Hochrisiko Anhang I Abschnitt B (Sektorrecht)","Kapitel III gilt nicht. Es gelten nur Art. 6 Abs. 1, Art. 60a und Art. 102–112 (Art. 2 Abs. 2 n. F.). Frist und Pflichten folgen aus dem Sektorrecht — bei Maschinen: Anhang III VO (EU) 2023/1230, delegierter Rechtsakt ab 02.08.2028.",IF(K10="Hochrisiko Anhang I Abschnitt B UND Anhang III — gesondert prüfen","Uneinheitlich: Für den Anhang-I-Teil gilt Art. 2 Abs. 2 n. F. (nur Art. 6 Abs. 1, 60a, 102–112), für den Anhang-III-Teil der 02.12.2027. Juristisch klären.",IF(K10="Hochrisiko Anhang I Abschnitt A und Anhang III","02.12.2027 (Anhang III) / 02.08.2028 (Anhang I Abschnitt A) — Planungsannahme",IF(K10="Hochrisiko Anhang I Abschnitt A","02.08.2028 — Planungsannahme; Vorbehalt delegierter Rechtsakte nach Art. 2 Abs. 13 n. F. (bis 02.08.2027)",IF(K10="Hochrisiko Anhang III","02.12.2027 — Planungsannahme",IF(K10="Transparenzpflicht (Art. 50)","02.08.2026",IF(K10="Kein Hochrisiko (Art. 6 Abs. 3)","Registrierung nach Art. 49 Abs. 2; Bewertung VOR Inverkehrbringen dokumentieren","keine besonderen Pflichten aus den hier geprüften Kategorien — Art. 4 und übriges Recht (DSGVO, Arbeitsrecht, Urheberrecht) weiter prüfen"))))))))))</f>
        <v/>
      </c>
      <c r="M10" s="11" t="str">
        <f aca="false">IF(K10="","",IF(LEFT(K10,10)="noch offen","noch offen",IF(K10="Kein Hochrisiko (Art. 6 Abs. 3)","Ja — Art. 49 Abs. 2 (Anbieter); Bewertung VOR Inverkehrbringen dokumentieren (Art. 6 Abs. 4)",IF(K10="Hochrisiko Anhang I Abschnitt B (Sektorrecht)","Nein — Art. 49 ist nach Art. 2 Abs. 2 n. F. nicht anwendbar",IF(K10="Hochrisiko Anhang I Abschnitt A","Nein — Art. 49 Abs. 1 gilt nur für Anhang III",IF(AND(LEFT(G10,1)="2",ISNUMBER(SEARCH("Anhang III",K10))),"Nein — Registrierung auf nationaler Ebene (Art. 49 Abs. 5)",IF(ISNUMBER(SEARCH("Anhang III",K10)),"Ja — Art. 49 Abs. 1 (Anbieter); Behörden als Betreiber: Art. 49 Abs. 3","Nein")))))))</f>
        <v/>
      </c>
      <c r="N10" s="11" t="str">
        <f aca="false">IF(A10="","",IF(K10="VERBOTEN (Art. 5)","entfällt — Einsatz unzulässig",IF(K10="Hochrisiko Anhang I Abschnitt B (Sektorrecht)","Nein — Art. 50 ist nach Art. 2 Abs. 2 n. F. nicht anwendbar",IF(AND(J10&lt;&gt;"",J10&lt;&gt;"keiner"),"Ja — Art. 50 gilt zusätzlich ab 02.08.2026","Nein"))))</f>
        <v/>
      </c>
      <c r="O10" s="7"/>
      <c r="P10" s="11" t="str">
        <f aca="false">IF(K10="","",IF(LEFT(K10,10)="noch offen","Prüfung unvollständig",IF(O10="Ja","Einstufung bestätigt",IF(O10="Nein","Juristische Prüfung erforderlich","Arbeitsannahme — nicht bestätigt"))))</f>
        <v/>
      </c>
      <c r="Q10" s="10"/>
      <c r="R10" s="12"/>
      <c r="S10" s="10"/>
      <c r="T10" s="10"/>
    </row>
    <row r="11" customFormat="false" ht="25.5" hidden="false" customHeight="true" outlineLevel="0" collapsed="false">
      <c r="A11" s="7"/>
      <c r="B11" s="11" t="str">
        <f aca="false">IF(A11="","",IFERROR(INDEX('01_KI-Inventar'!$B$6:$B$65,MATCH(A11,'01_KI-Inventar'!$A$6:$A$65,0)),""))</f>
        <v/>
      </c>
      <c r="C11" s="7"/>
      <c r="D11" s="7"/>
      <c r="E11" s="7"/>
      <c r="F11" s="10"/>
      <c r="G11" s="7"/>
      <c r="H11" s="7"/>
      <c r="I11" s="7"/>
      <c r="J11" s="7"/>
      <c r="K11" s="11" t="str">
        <f aca="false">IF(A11="","",IF(OR(C11="",D11="",G11="",J11="",COUNTIF(C11:D11,"Prüfung offen")&gt;0,COUNTIF(H11:I11,"Prüfung offen")&gt;0,AND(D11="Ja",OR(E11="",E11="noch offen")),AND(G11&lt;&gt;"keiner",OR(H11="",AND(H11&lt;&gt;"Ja",I11="")))),"noch offen — Angaben unvollständig",IF(C11="Ja","VERBOTEN (Art. 5)",IF(AND(D11="Ja",E11="Abschnitt B",G11&lt;&gt;"keiner"),"Hochrisiko Anhang I Abschnitt B UND Anhang III — gesondert prüfen",IF(AND(D11="Ja",E11="Abschnitt B"),"Hochrisiko Anhang I Abschnitt B (Sektorrecht)",IF(AND(D11="Ja",G11&lt;&gt;"keiner"),"Hochrisiko Anhang I Abschnitt A und Anhang III",IF(D11="Ja","Hochrisiko Anhang I Abschnitt A",IF(G11&lt;&gt;"keiner",IF(H11="Ja","Hochrisiko Anhang III",IF(I11="Ja","Kein Hochrisiko (Art. 6 Abs. 3)","Hochrisiko Anhang III")),IF(J11&lt;&gt;"keiner","Transparenzpflicht (Art. 50)","Geringes Risiko")))))))))</f>
        <v/>
      </c>
      <c r="L11" s="11" t="str">
        <f aca="false">IF(K11="","",IF(K11="VERBOTEN (Art. 5)","02.02.2025 (NCII/CSAM: 02.12.2026)",IF(LEFT(K11,10)="noch offen","keine Frist — Einstufung zuerst abschließen",IF(K11="Hochrisiko Anhang I Abschnitt B (Sektorrecht)","Kapitel III gilt nicht. Es gelten nur Art. 6 Abs. 1, Art. 60a und Art. 102–112 (Art. 2 Abs. 2 n. F.). Frist und Pflichten folgen aus dem Sektorrecht — bei Maschinen: Anhang III VO (EU) 2023/1230, delegierter Rechtsakt ab 02.08.2028.",IF(K11="Hochrisiko Anhang I Abschnitt B UND Anhang III — gesondert prüfen","Uneinheitlich: Für den Anhang-I-Teil gilt Art. 2 Abs. 2 n. F. (nur Art. 6 Abs. 1, 60a, 102–112), für den Anhang-III-Teil der 02.12.2027. Juristisch klären.",IF(K11="Hochrisiko Anhang I Abschnitt A und Anhang III","02.12.2027 (Anhang III) / 02.08.2028 (Anhang I Abschnitt A) — Planungsannahme",IF(K11="Hochrisiko Anhang I Abschnitt A","02.08.2028 — Planungsannahme; Vorbehalt delegierter Rechtsakte nach Art. 2 Abs. 13 n. F. (bis 02.08.2027)",IF(K11="Hochrisiko Anhang III","02.12.2027 — Planungsannahme",IF(K11="Transparenzpflicht (Art. 50)","02.08.2026",IF(K11="Kein Hochrisiko (Art. 6 Abs. 3)","Registrierung nach Art. 49 Abs. 2; Bewertung VOR Inverkehrbringen dokumentieren","keine besonderen Pflichten aus den hier geprüften Kategorien — Art. 4 und übriges Recht (DSGVO, Arbeitsrecht, Urheberrecht) weiter prüfen"))))))))))</f>
        <v/>
      </c>
      <c r="M11" s="11" t="str">
        <f aca="false">IF(K11="","",IF(LEFT(K11,10)="noch offen","noch offen",IF(K11="Kein Hochrisiko (Art. 6 Abs. 3)","Ja — Art. 49 Abs. 2 (Anbieter); Bewertung VOR Inverkehrbringen dokumentieren (Art. 6 Abs. 4)",IF(K11="Hochrisiko Anhang I Abschnitt B (Sektorrecht)","Nein — Art. 49 ist nach Art. 2 Abs. 2 n. F. nicht anwendbar",IF(K11="Hochrisiko Anhang I Abschnitt A","Nein — Art. 49 Abs. 1 gilt nur für Anhang III",IF(AND(LEFT(G11,1)="2",ISNUMBER(SEARCH("Anhang III",K11))),"Nein — Registrierung auf nationaler Ebene (Art. 49 Abs. 5)",IF(ISNUMBER(SEARCH("Anhang III",K11)),"Ja — Art. 49 Abs. 1 (Anbieter); Behörden als Betreiber: Art. 49 Abs. 3","Nein")))))))</f>
        <v/>
      </c>
      <c r="N11" s="11" t="str">
        <f aca="false">IF(A11="","",IF(K11="VERBOTEN (Art. 5)","entfällt — Einsatz unzulässig",IF(K11="Hochrisiko Anhang I Abschnitt B (Sektorrecht)","Nein — Art. 50 ist nach Art. 2 Abs. 2 n. F. nicht anwendbar",IF(AND(J11&lt;&gt;"",J11&lt;&gt;"keiner"),"Ja — Art. 50 gilt zusätzlich ab 02.08.2026","Nein"))))</f>
        <v/>
      </c>
      <c r="O11" s="7"/>
      <c r="P11" s="11" t="str">
        <f aca="false">IF(K11="","",IF(LEFT(K11,10)="noch offen","Prüfung unvollständig",IF(O11="Ja","Einstufung bestätigt",IF(O11="Nein","Juristische Prüfung erforderlich","Arbeitsannahme — nicht bestätigt"))))</f>
        <v/>
      </c>
      <c r="Q11" s="10"/>
      <c r="R11" s="12"/>
      <c r="S11" s="10"/>
      <c r="T11" s="10"/>
    </row>
    <row r="12" customFormat="false" ht="25.5" hidden="false" customHeight="true" outlineLevel="0" collapsed="false">
      <c r="A12" s="7"/>
      <c r="B12" s="11" t="str">
        <f aca="false">IF(A12="","",IFERROR(INDEX('01_KI-Inventar'!$B$6:$B$65,MATCH(A12,'01_KI-Inventar'!$A$6:$A$65,0)),""))</f>
        <v/>
      </c>
      <c r="C12" s="7"/>
      <c r="D12" s="7"/>
      <c r="E12" s="7"/>
      <c r="F12" s="10"/>
      <c r="G12" s="7"/>
      <c r="H12" s="7"/>
      <c r="I12" s="7"/>
      <c r="J12" s="7"/>
      <c r="K12" s="11" t="str">
        <f aca="false">IF(A12="","",IF(OR(C12="",D12="",G12="",J12="",COUNTIF(C12:D12,"Prüfung offen")&gt;0,COUNTIF(H12:I12,"Prüfung offen")&gt;0,AND(D12="Ja",OR(E12="",E12="noch offen")),AND(G12&lt;&gt;"keiner",OR(H12="",AND(H12&lt;&gt;"Ja",I12="")))),"noch offen — Angaben unvollständig",IF(C12="Ja","VERBOTEN (Art. 5)",IF(AND(D12="Ja",E12="Abschnitt B",G12&lt;&gt;"keiner"),"Hochrisiko Anhang I Abschnitt B UND Anhang III — gesondert prüfen",IF(AND(D12="Ja",E12="Abschnitt B"),"Hochrisiko Anhang I Abschnitt B (Sektorrecht)",IF(AND(D12="Ja",G12&lt;&gt;"keiner"),"Hochrisiko Anhang I Abschnitt A und Anhang III",IF(D12="Ja","Hochrisiko Anhang I Abschnitt A",IF(G12&lt;&gt;"keiner",IF(H12="Ja","Hochrisiko Anhang III",IF(I12="Ja","Kein Hochrisiko (Art. 6 Abs. 3)","Hochrisiko Anhang III")),IF(J12&lt;&gt;"keiner","Transparenzpflicht (Art. 50)","Geringes Risiko")))))))))</f>
        <v/>
      </c>
      <c r="L12" s="11" t="str">
        <f aca="false">IF(K12="","",IF(K12="VERBOTEN (Art. 5)","02.02.2025 (NCII/CSAM: 02.12.2026)",IF(LEFT(K12,10)="noch offen","keine Frist — Einstufung zuerst abschließen",IF(K12="Hochrisiko Anhang I Abschnitt B (Sektorrecht)","Kapitel III gilt nicht. Es gelten nur Art. 6 Abs. 1, Art. 60a und Art. 102–112 (Art. 2 Abs. 2 n. F.). Frist und Pflichten folgen aus dem Sektorrecht — bei Maschinen: Anhang III VO (EU) 2023/1230, delegierter Rechtsakt ab 02.08.2028.",IF(K12="Hochrisiko Anhang I Abschnitt B UND Anhang III — gesondert prüfen","Uneinheitlich: Für den Anhang-I-Teil gilt Art. 2 Abs. 2 n. F. (nur Art. 6 Abs. 1, 60a, 102–112), für den Anhang-III-Teil der 02.12.2027. Juristisch klären.",IF(K12="Hochrisiko Anhang I Abschnitt A und Anhang III","02.12.2027 (Anhang III) / 02.08.2028 (Anhang I Abschnitt A) — Planungsannahme",IF(K12="Hochrisiko Anhang I Abschnitt A","02.08.2028 — Planungsannahme; Vorbehalt delegierter Rechtsakte nach Art. 2 Abs. 13 n. F. (bis 02.08.2027)",IF(K12="Hochrisiko Anhang III","02.12.2027 — Planungsannahme",IF(K12="Transparenzpflicht (Art. 50)","02.08.2026",IF(K12="Kein Hochrisiko (Art. 6 Abs. 3)","Registrierung nach Art. 49 Abs. 2; Bewertung VOR Inverkehrbringen dokumentieren","keine besonderen Pflichten aus den hier geprüften Kategorien — Art. 4 und übriges Recht (DSGVO, Arbeitsrecht, Urheberrecht) weiter prüfen"))))))))))</f>
        <v/>
      </c>
      <c r="M12" s="11" t="str">
        <f aca="false">IF(K12="","",IF(LEFT(K12,10)="noch offen","noch offen",IF(K12="Kein Hochrisiko (Art. 6 Abs. 3)","Ja — Art. 49 Abs. 2 (Anbieter); Bewertung VOR Inverkehrbringen dokumentieren (Art. 6 Abs. 4)",IF(K12="Hochrisiko Anhang I Abschnitt B (Sektorrecht)","Nein — Art. 49 ist nach Art. 2 Abs. 2 n. F. nicht anwendbar",IF(K12="Hochrisiko Anhang I Abschnitt A","Nein — Art. 49 Abs. 1 gilt nur für Anhang III",IF(AND(LEFT(G12,1)="2",ISNUMBER(SEARCH("Anhang III",K12))),"Nein — Registrierung auf nationaler Ebene (Art. 49 Abs. 5)",IF(ISNUMBER(SEARCH("Anhang III",K12)),"Ja — Art. 49 Abs. 1 (Anbieter); Behörden als Betreiber: Art. 49 Abs. 3","Nein")))))))</f>
        <v/>
      </c>
      <c r="N12" s="11" t="str">
        <f aca="false">IF(A12="","",IF(K12="VERBOTEN (Art. 5)","entfällt — Einsatz unzulässig",IF(K12="Hochrisiko Anhang I Abschnitt B (Sektorrecht)","Nein — Art. 50 ist nach Art. 2 Abs. 2 n. F. nicht anwendbar",IF(AND(J12&lt;&gt;"",J12&lt;&gt;"keiner"),"Ja — Art. 50 gilt zusätzlich ab 02.08.2026","Nein"))))</f>
        <v/>
      </c>
      <c r="O12" s="7"/>
      <c r="P12" s="11" t="str">
        <f aca="false">IF(K12="","",IF(LEFT(K12,10)="noch offen","Prüfung unvollständig",IF(O12="Ja","Einstufung bestätigt",IF(O12="Nein","Juristische Prüfung erforderlich","Arbeitsannahme — nicht bestätigt"))))</f>
        <v/>
      </c>
      <c r="Q12" s="10"/>
      <c r="R12" s="12"/>
      <c r="S12" s="10"/>
      <c r="T12" s="10"/>
    </row>
    <row r="13" customFormat="false" ht="25.5" hidden="false" customHeight="true" outlineLevel="0" collapsed="false">
      <c r="A13" s="7"/>
      <c r="B13" s="11" t="str">
        <f aca="false">IF(A13="","",IFERROR(INDEX('01_KI-Inventar'!$B$6:$B$65,MATCH(A13,'01_KI-Inventar'!$A$6:$A$65,0)),""))</f>
        <v/>
      </c>
      <c r="C13" s="7"/>
      <c r="D13" s="7"/>
      <c r="E13" s="7"/>
      <c r="F13" s="10"/>
      <c r="G13" s="7"/>
      <c r="H13" s="7"/>
      <c r="I13" s="7"/>
      <c r="J13" s="7"/>
      <c r="K13" s="11" t="str">
        <f aca="false">IF(A13="","",IF(OR(C13="",D13="",G13="",J13="",COUNTIF(C13:D13,"Prüfung offen")&gt;0,COUNTIF(H13:I13,"Prüfung offen")&gt;0,AND(D13="Ja",OR(E13="",E13="noch offen")),AND(G13&lt;&gt;"keiner",OR(H13="",AND(H13&lt;&gt;"Ja",I13="")))),"noch offen — Angaben unvollständig",IF(C13="Ja","VERBOTEN (Art. 5)",IF(AND(D13="Ja",E13="Abschnitt B",G13&lt;&gt;"keiner"),"Hochrisiko Anhang I Abschnitt B UND Anhang III — gesondert prüfen",IF(AND(D13="Ja",E13="Abschnitt B"),"Hochrisiko Anhang I Abschnitt B (Sektorrecht)",IF(AND(D13="Ja",G13&lt;&gt;"keiner"),"Hochrisiko Anhang I Abschnitt A und Anhang III",IF(D13="Ja","Hochrisiko Anhang I Abschnitt A",IF(G13&lt;&gt;"keiner",IF(H13="Ja","Hochrisiko Anhang III",IF(I13="Ja","Kein Hochrisiko (Art. 6 Abs. 3)","Hochrisiko Anhang III")),IF(J13&lt;&gt;"keiner","Transparenzpflicht (Art. 50)","Geringes Risiko")))))))))</f>
        <v/>
      </c>
      <c r="L13" s="11" t="str">
        <f aca="false">IF(K13="","",IF(K13="VERBOTEN (Art. 5)","02.02.2025 (NCII/CSAM: 02.12.2026)",IF(LEFT(K13,10)="noch offen","keine Frist — Einstufung zuerst abschließen",IF(K13="Hochrisiko Anhang I Abschnitt B (Sektorrecht)","Kapitel III gilt nicht. Es gelten nur Art. 6 Abs. 1, Art. 60a und Art. 102–112 (Art. 2 Abs. 2 n. F.). Frist und Pflichten folgen aus dem Sektorrecht — bei Maschinen: Anhang III VO (EU) 2023/1230, delegierter Rechtsakt ab 02.08.2028.",IF(K13="Hochrisiko Anhang I Abschnitt B UND Anhang III — gesondert prüfen","Uneinheitlich: Für den Anhang-I-Teil gilt Art. 2 Abs. 2 n. F. (nur Art. 6 Abs. 1, 60a, 102–112), für den Anhang-III-Teil der 02.12.2027. Juristisch klären.",IF(K13="Hochrisiko Anhang I Abschnitt A und Anhang III","02.12.2027 (Anhang III) / 02.08.2028 (Anhang I Abschnitt A) — Planungsannahme",IF(K13="Hochrisiko Anhang I Abschnitt A","02.08.2028 — Planungsannahme; Vorbehalt delegierter Rechtsakte nach Art. 2 Abs. 13 n. F. (bis 02.08.2027)",IF(K13="Hochrisiko Anhang III","02.12.2027 — Planungsannahme",IF(K13="Transparenzpflicht (Art. 50)","02.08.2026",IF(K13="Kein Hochrisiko (Art. 6 Abs. 3)","Registrierung nach Art. 49 Abs. 2; Bewertung VOR Inverkehrbringen dokumentieren","keine besonderen Pflichten aus den hier geprüften Kategorien — Art. 4 und übriges Recht (DSGVO, Arbeitsrecht, Urheberrecht) weiter prüfen"))))))))))</f>
        <v/>
      </c>
      <c r="M13" s="11" t="str">
        <f aca="false">IF(K13="","",IF(LEFT(K13,10)="noch offen","noch offen",IF(K13="Kein Hochrisiko (Art. 6 Abs. 3)","Ja — Art. 49 Abs. 2 (Anbieter); Bewertung VOR Inverkehrbringen dokumentieren (Art. 6 Abs. 4)",IF(K13="Hochrisiko Anhang I Abschnitt B (Sektorrecht)","Nein — Art. 49 ist nach Art. 2 Abs. 2 n. F. nicht anwendbar",IF(K13="Hochrisiko Anhang I Abschnitt A","Nein — Art. 49 Abs. 1 gilt nur für Anhang III",IF(AND(LEFT(G13,1)="2",ISNUMBER(SEARCH("Anhang III",K13))),"Nein — Registrierung auf nationaler Ebene (Art. 49 Abs. 5)",IF(ISNUMBER(SEARCH("Anhang III",K13)),"Ja — Art. 49 Abs. 1 (Anbieter); Behörden als Betreiber: Art. 49 Abs. 3","Nein")))))))</f>
        <v/>
      </c>
      <c r="N13" s="11" t="str">
        <f aca="false">IF(A13="","",IF(K13="VERBOTEN (Art. 5)","entfällt — Einsatz unzulässig",IF(K13="Hochrisiko Anhang I Abschnitt B (Sektorrecht)","Nein — Art. 50 ist nach Art. 2 Abs. 2 n. F. nicht anwendbar",IF(AND(J13&lt;&gt;"",J13&lt;&gt;"keiner"),"Ja — Art. 50 gilt zusätzlich ab 02.08.2026","Nein"))))</f>
        <v/>
      </c>
      <c r="O13" s="7"/>
      <c r="P13" s="11" t="str">
        <f aca="false">IF(K13="","",IF(LEFT(K13,10)="noch offen","Prüfung unvollständig",IF(O13="Ja","Einstufung bestätigt",IF(O13="Nein","Juristische Prüfung erforderlich","Arbeitsannahme — nicht bestätigt"))))</f>
        <v/>
      </c>
      <c r="Q13" s="10"/>
      <c r="R13" s="12"/>
      <c r="S13" s="10"/>
      <c r="T13" s="10"/>
    </row>
    <row r="14" customFormat="false" ht="25.5" hidden="false" customHeight="true" outlineLevel="0" collapsed="false">
      <c r="A14" s="7"/>
      <c r="B14" s="11" t="str">
        <f aca="false">IF(A14="","",IFERROR(INDEX('01_KI-Inventar'!$B$6:$B$65,MATCH(A14,'01_KI-Inventar'!$A$6:$A$65,0)),""))</f>
        <v/>
      </c>
      <c r="C14" s="7"/>
      <c r="D14" s="7"/>
      <c r="E14" s="7"/>
      <c r="F14" s="10"/>
      <c r="G14" s="7"/>
      <c r="H14" s="7"/>
      <c r="I14" s="7"/>
      <c r="J14" s="7"/>
      <c r="K14" s="11" t="str">
        <f aca="false">IF(A14="","",IF(OR(C14="",D14="",G14="",J14="",COUNTIF(C14:D14,"Prüfung offen")&gt;0,COUNTIF(H14:I14,"Prüfung offen")&gt;0,AND(D14="Ja",OR(E14="",E14="noch offen")),AND(G14&lt;&gt;"keiner",OR(H14="",AND(H14&lt;&gt;"Ja",I14="")))),"noch offen — Angaben unvollständig",IF(C14="Ja","VERBOTEN (Art. 5)",IF(AND(D14="Ja",E14="Abschnitt B",G14&lt;&gt;"keiner"),"Hochrisiko Anhang I Abschnitt B UND Anhang III — gesondert prüfen",IF(AND(D14="Ja",E14="Abschnitt B"),"Hochrisiko Anhang I Abschnitt B (Sektorrecht)",IF(AND(D14="Ja",G14&lt;&gt;"keiner"),"Hochrisiko Anhang I Abschnitt A und Anhang III",IF(D14="Ja","Hochrisiko Anhang I Abschnitt A",IF(G14&lt;&gt;"keiner",IF(H14="Ja","Hochrisiko Anhang III",IF(I14="Ja","Kein Hochrisiko (Art. 6 Abs. 3)","Hochrisiko Anhang III")),IF(J14&lt;&gt;"keiner","Transparenzpflicht (Art. 50)","Geringes Risiko")))))))))</f>
        <v/>
      </c>
      <c r="L14" s="11" t="str">
        <f aca="false">IF(K14="","",IF(K14="VERBOTEN (Art. 5)","02.02.2025 (NCII/CSAM: 02.12.2026)",IF(LEFT(K14,10)="noch offen","keine Frist — Einstufung zuerst abschließen",IF(K14="Hochrisiko Anhang I Abschnitt B (Sektorrecht)","Kapitel III gilt nicht. Es gelten nur Art. 6 Abs. 1, Art. 60a und Art. 102–112 (Art. 2 Abs. 2 n. F.). Frist und Pflichten folgen aus dem Sektorrecht — bei Maschinen: Anhang III VO (EU) 2023/1230, delegierter Rechtsakt ab 02.08.2028.",IF(K14="Hochrisiko Anhang I Abschnitt B UND Anhang III — gesondert prüfen","Uneinheitlich: Für den Anhang-I-Teil gilt Art. 2 Abs. 2 n. F. (nur Art. 6 Abs. 1, 60a, 102–112), für den Anhang-III-Teil der 02.12.2027. Juristisch klären.",IF(K14="Hochrisiko Anhang I Abschnitt A und Anhang III","02.12.2027 (Anhang III) / 02.08.2028 (Anhang I Abschnitt A) — Planungsannahme",IF(K14="Hochrisiko Anhang I Abschnitt A","02.08.2028 — Planungsannahme; Vorbehalt delegierter Rechtsakte nach Art. 2 Abs. 13 n. F. (bis 02.08.2027)",IF(K14="Hochrisiko Anhang III","02.12.2027 — Planungsannahme",IF(K14="Transparenzpflicht (Art. 50)","02.08.2026",IF(K14="Kein Hochrisiko (Art. 6 Abs. 3)","Registrierung nach Art. 49 Abs. 2; Bewertung VOR Inverkehrbringen dokumentieren","keine besonderen Pflichten aus den hier geprüften Kategorien — Art. 4 und übriges Recht (DSGVO, Arbeitsrecht, Urheberrecht) weiter prüfen"))))))))))</f>
        <v/>
      </c>
      <c r="M14" s="11" t="str">
        <f aca="false">IF(K14="","",IF(LEFT(K14,10)="noch offen","noch offen",IF(K14="Kein Hochrisiko (Art. 6 Abs. 3)","Ja — Art. 49 Abs. 2 (Anbieter); Bewertung VOR Inverkehrbringen dokumentieren (Art. 6 Abs. 4)",IF(K14="Hochrisiko Anhang I Abschnitt B (Sektorrecht)","Nein — Art. 49 ist nach Art. 2 Abs. 2 n. F. nicht anwendbar",IF(K14="Hochrisiko Anhang I Abschnitt A","Nein — Art. 49 Abs. 1 gilt nur für Anhang III",IF(AND(LEFT(G14,1)="2",ISNUMBER(SEARCH("Anhang III",K14))),"Nein — Registrierung auf nationaler Ebene (Art. 49 Abs. 5)",IF(ISNUMBER(SEARCH("Anhang III",K14)),"Ja — Art. 49 Abs. 1 (Anbieter); Behörden als Betreiber: Art. 49 Abs. 3","Nein")))))))</f>
        <v/>
      </c>
      <c r="N14" s="11" t="str">
        <f aca="false">IF(A14="","",IF(K14="VERBOTEN (Art. 5)","entfällt — Einsatz unzulässig",IF(K14="Hochrisiko Anhang I Abschnitt B (Sektorrecht)","Nein — Art. 50 ist nach Art. 2 Abs. 2 n. F. nicht anwendbar",IF(AND(J14&lt;&gt;"",J14&lt;&gt;"keiner"),"Ja — Art. 50 gilt zusätzlich ab 02.08.2026","Nein"))))</f>
        <v/>
      </c>
      <c r="O14" s="7"/>
      <c r="P14" s="11" t="str">
        <f aca="false">IF(K14="","",IF(LEFT(K14,10)="noch offen","Prüfung unvollständig",IF(O14="Ja","Einstufung bestätigt",IF(O14="Nein","Juristische Prüfung erforderlich","Arbeitsannahme — nicht bestätigt"))))</f>
        <v/>
      </c>
      <c r="Q14" s="10"/>
      <c r="R14" s="12"/>
      <c r="S14" s="10"/>
      <c r="T14" s="10"/>
    </row>
    <row r="15" customFormat="false" ht="25.5" hidden="false" customHeight="true" outlineLevel="0" collapsed="false">
      <c r="A15" s="7"/>
      <c r="B15" s="11" t="str">
        <f aca="false">IF(A15="","",IFERROR(INDEX('01_KI-Inventar'!$B$6:$B$65,MATCH(A15,'01_KI-Inventar'!$A$6:$A$65,0)),""))</f>
        <v/>
      </c>
      <c r="C15" s="7"/>
      <c r="D15" s="7"/>
      <c r="E15" s="7"/>
      <c r="F15" s="10"/>
      <c r="G15" s="7"/>
      <c r="H15" s="7"/>
      <c r="I15" s="7"/>
      <c r="J15" s="7"/>
      <c r="K15" s="11" t="str">
        <f aca="false">IF(A15="","",IF(OR(C15="",D15="",G15="",J15="",COUNTIF(C15:D15,"Prüfung offen")&gt;0,COUNTIF(H15:I15,"Prüfung offen")&gt;0,AND(D15="Ja",OR(E15="",E15="noch offen")),AND(G15&lt;&gt;"keiner",OR(H15="",AND(H15&lt;&gt;"Ja",I15="")))),"noch offen — Angaben unvollständig",IF(C15="Ja","VERBOTEN (Art. 5)",IF(AND(D15="Ja",E15="Abschnitt B",G15&lt;&gt;"keiner"),"Hochrisiko Anhang I Abschnitt B UND Anhang III — gesondert prüfen",IF(AND(D15="Ja",E15="Abschnitt B"),"Hochrisiko Anhang I Abschnitt B (Sektorrecht)",IF(AND(D15="Ja",G15&lt;&gt;"keiner"),"Hochrisiko Anhang I Abschnitt A und Anhang III",IF(D15="Ja","Hochrisiko Anhang I Abschnitt A",IF(G15&lt;&gt;"keiner",IF(H15="Ja","Hochrisiko Anhang III",IF(I15="Ja","Kein Hochrisiko (Art. 6 Abs. 3)","Hochrisiko Anhang III")),IF(J15&lt;&gt;"keiner","Transparenzpflicht (Art. 50)","Geringes Risiko")))))))))</f>
        <v/>
      </c>
      <c r="L15" s="11" t="str">
        <f aca="false">IF(K15="","",IF(K15="VERBOTEN (Art. 5)","02.02.2025 (NCII/CSAM: 02.12.2026)",IF(LEFT(K15,10)="noch offen","keine Frist — Einstufung zuerst abschließen",IF(K15="Hochrisiko Anhang I Abschnitt B (Sektorrecht)","Kapitel III gilt nicht. Es gelten nur Art. 6 Abs. 1, Art. 60a und Art. 102–112 (Art. 2 Abs. 2 n. F.). Frist und Pflichten folgen aus dem Sektorrecht — bei Maschinen: Anhang III VO (EU) 2023/1230, delegierter Rechtsakt ab 02.08.2028.",IF(K15="Hochrisiko Anhang I Abschnitt B UND Anhang III — gesondert prüfen","Uneinheitlich: Für den Anhang-I-Teil gilt Art. 2 Abs. 2 n. F. (nur Art. 6 Abs. 1, 60a, 102–112), für den Anhang-III-Teil der 02.12.2027. Juristisch klären.",IF(K15="Hochrisiko Anhang I Abschnitt A und Anhang III","02.12.2027 (Anhang III) / 02.08.2028 (Anhang I Abschnitt A) — Planungsannahme",IF(K15="Hochrisiko Anhang I Abschnitt A","02.08.2028 — Planungsannahme; Vorbehalt delegierter Rechtsakte nach Art. 2 Abs. 13 n. F. (bis 02.08.2027)",IF(K15="Hochrisiko Anhang III","02.12.2027 — Planungsannahme",IF(K15="Transparenzpflicht (Art. 50)","02.08.2026",IF(K15="Kein Hochrisiko (Art. 6 Abs. 3)","Registrierung nach Art. 49 Abs. 2; Bewertung VOR Inverkehrbringen dokumentieren","keine besonderen Pflichten aus den hier geprüften Kategorien — Art. 4 und übriges Recht (DSGVO, Arbeitsrecht, Urheberrecht) weiter prüfen"))))))))))</f>
        <v/>
      </c>
      <c r="M15" s="11" t="str">
        <f aca="false">IF(K15="","",IF(LEFT(K15,10)="noch offen","noch offen",IF(K15="Kein Hochrisiko (Art. 6 Abs. 3)","Ja — Art. 49 Abs. 2 (Anbieter); Bewertung VOR Inverkehrbringen dokumentieren (Art. 6 Abs. 4)",IF(K15="Hochrisiko Anhang I Abschnitt B (Sektorrecht)","Nein — Art. 49 ist nach Art. 2 Abs. 2 n. F. nicht anwendbar",IF(K15="Hochrisiko Anhang I Abschnitt A","Nein — Art. 49 Abs. 1 gilt nur für Anhang III",IF(AND(LEFT(G15,1)="2",ISNUMBER(SEARCH("Anhang III",K15))),"Nein — Registrierung auf nationaler Ebene (Art. 49 Abs. 5)",IF(ISNUMBER(SEARCH("Anhang III",K15)),"Ja — Art. 49 Abs. 1 (Anbieter); Behörden als Betreiber: Art. 49 Abs. 3","Nein")))))))</f>
        <v/>
      </c>
      <c r="N15" s="11" t="str">
        <f aca="false">IF(A15="","",IF(K15="VERBOTEN (Art. 5)","entfällt — Einsatz unzulässig",IF(K15="Hochrisiko Anhang I Abschnitt B (Sektorrecht)","Nein — Art. 50 ist nach Art. 2 Abs. 2 n. F. nicht anwendbar",IF(AND(J15&lt;&gt;"",J15&lt;&gt;"keiner"),"Ja — Art. 50 gilt zusätzlich ab 02.08.2026","Nein"))))</f>
        <v/>
      </c>
      <c r="O15" s="7"/>
      <c r="P15" s="11" t="str">
        <f aca="false">IF(K15="","",IF(LEFT(K15,10)="noch offen","Prüfung unvollständig",IF(O15="Ja","Einstufung bestätigt",IF(O15="Nein","Juristische Prüfung erforderlich","Arbeitsannahme — nicht bestätigt"))))</f>
        <v/>
      </c>
      <c r="Q15" s="10"/>
      <c r="R15" s="12"/>
      <c r="S15" s="10"/>
      <c r="T15" s="10"/>
    </row>
    <row r="16" customFormat="false" ht="25.5" hidden="false" customHeight="true" outlineLevel="0" collapsed="false">
      <c r="A16" s="7"/>
      <c r="B16" s="11" t="str">
        <f aca="false">IF(A16="","",IFERROR(INDEX('01_KI-Inventar'!$B$6:$B$65,MATCH(A16,'01_KI-Inventar'!$A$6:$A$65,0)),""))</f>
        <v/>
      </c>
      <c r="C16" s="7"/>
      <c r="D16" s="7"/>
      <c r="E16" s="7"/>
      <c r="F16" s="10"/>
      <c r="G16" s="7"/>
      <c r="H16" s="7"/>
      <c r="I16" s="7"/>
      <c r="J16" s="7"/>
      <c r="K16" s="11" t="str">
        <f aca="false">IF(A16="","",IF(OR(C16="",D16="",G16="",J16="",COUNTIF(C16:D16,"Prüfung offen")&gt;0,COUNTIF(H16:I16,"Prüfung offen")&gt;0,AND(D16="Ja",OR(E16="",E16="noch offen")),AND(G16&lt;&gt;"keiner",OR(H16="",AND(H16&lt;&gt;"Ja",I16="")))),"noch offen — Angaben unvollständig",IF(C16="Ja","VERBOTEN (Art. 5)",IF(AND(D16="Ja",E16="Abschnitt B",G16&lt;&gt;"keiner"),"Hochrisiko Anhang I Abschnitt B UND Anhang III — gesondert prüfen",IF(AND(D16="Ja",E16="Abschnitt B"),"Hochrisiko Anhang I Abschnitt B (Sektorrecht)",IF(AND(D16="Ja",G16&lt;&gt;"keiner"),"Hochrisiko Anhang I Abschnitt A und Anhang III",IF(D16="Ja","Hochrisiko Anhang I Abschnitt A",IF(G16&lt;&gt;"keiner",IF(H16="Ja","Hochrisiko Anhang III",IF(I16="Ja","Kein Hochrisiko (Art. 6 Abs. 3)","Hochrisiko Anhang III")),IF(J16&lt;&gt;"keiner","Transparenzpflicht (Art. 50)","Geringes Risiko")))))))))</f>
        <v/>
      </c>
      <c r="L16" s="11" t="str">
        <f aca="false">IF(K16="","",IF(K16="VERBOTEN (Art. 5)","02.02.2025 (NCII/CSAM: 02.12.2026)",IF(LEFT(K16,10)="noch offen","keine Frist — Einstufung zuerst abschließen",IF(K16="Hochrisiko Anhang I Abschnitt B (Sektorrecht)","Kapitel III gilt nicht. Es gelten nur Art. 6 Abs. 1, Art. 60a und Art. 102–112 (Art. 2 Abs. 2 n. F.). Frist und Pflichten folgen aus dem Sektorrecht — bei Maschinen: Anhang III VO (EU) 2023/1230, delegierter Rechtsakt ab 02.08.2028.",IF(K16="Hochrisiko Anhang I Abschnitt B UND Anhang III — gesondert prüfen","Uneinheitlich: Für den Anhang-I-Teil gilt Art. 2 Abs. 2 n. F. (nur Art. 6 Abs. 1, 60a, 102–112), für den Anhang-III-Teil der 02.12.2027. Juristisch klären.",IF(K16="Hochrisiko Anhang I Abschnitt A und Anhang III","02.12.2027 (Anhang III) / 02.08.2028 (Anhang I Abschnitt A) — Planungsannahme",IF(K16="Hochrisiko Anhang I Abschnitt A","02.08.2028 — Planungsannahme; Vorbehalt delegierter Rechtsakte nach Art. 2 Abs. 13 n. F. (bis 02.08.2027)",IF(K16="Hochrisiko Anhang III","02.12.2027 — Planungsannahme",IF(K16="Transparenzpflicht (Art. 50)","02.08.2026",IF(K16="Kein Hochrisiko (Art. 6 Abs. 3)","Registrierung nach Art. 49 Abs. 2; Bewertung VOR Inverkehrbringen dokumentieren","keine besonderen Pflichten aus den hier geprüften Kategorien — Art. 4 und übriges Recht (DSGVO, Arbeitsrecht, Urheberrecht) weiter prüfen"))))))))))</f>
        <v/>
      </c>
      <c r="M16" s="11" t="str">
        <f aca="false">IF(K16="","",IF(LEFT(K16,10)="noch offen","noch offen",IF(K16="Kein Hochrisiko (Art. 6 Abs. 3)","Ja — Art. 49 Abs. 2 (Anbieter); Bewertung VOR Inverkehrbringen dokumentieren (Art. 6 Abs. 4)",IF(K16="Hochrisiko Anhang I Abschnitt B (Sektorrecht)","Nein — Art. 49 ist nach Art. 2 Abs. 2 n. F. nicht anwendbar",IF(K16="Hochrisiko Anhang I Abschnitt A","Nein — Art. 49 Abs. 1 gilt nur für Anhang III",IF(AND(LEFT(G16,1)="2",ISNUMBER(SEARCH("Anhang III",K16))),"Nein — Registrierung auf nationaler Ebene (Art. 49 Abs. 5)",IF(ISNUMBER(SEARCH("Anhang III",K16)),"Ja — Art. 49 Abs. 1 (Anbieter); Behörden als Betreiber: Art. 49 Abs. 3","Nein")))))))</f>
        <v/>
      </c>
      <c r="N16" s="11" t="str">
        <f aca="false">IF(A16="","",IF(K16="VERBOTEN (Art. 5)","entfällt — Einsatz unzulässig",IF(K16="Hochrisiko Anhang I Abschnitt B (Sektorrecht)","Nein — Art. 50 ist nach Art. 2 Abs. 2 n. F. nicht anwendbar",IF(AND(J16&lt;&gt;"",J16&lt;&gt;"keiner"),"Ja — Art. 50 gilt zusätzlich ab 02.08.2026","Nein"))))</f>
        <v/>
      </c>
      <c r="O16" s="7"/>
      <c r="P16" s="11" t="str">
        <f aca="false">IF(K16="","",IF(LEFT(K16,10)="noch offen","Prüfung unvollständig",IF(O16="Ja","Einstufung bestätigt",IF(O16="Nein","Juristische Prüfung erforderlich","Arbeitsannahme — nicht bestätigt"))))</f>
        <v/>
      </c>
      <c r="Q16" s="10"/>
      <c r="R16" s="12"/>
      <c r="S16" s="10"/>
      <c r="T16" s="10"/>
    </row>
    <row r="17" customFormat="false" ht="25.5" hidden="false" customHeight="true" outlineLevel="0" collapsed="false">
      <c r="A17" s="7"/>
      <c r="B17" s="11" t="str">
        <f aca="false">IF(A17="","",IFERROR(INDEX('01_KI-Inventar'!$B$6:$B$65,MATCH(A17,'01_KI-Inventar'!$A$6:$A$65,0)),""))</f>
        <v/>
      </c>
      <c r="C17" s="7"/>
      <c r="D17" s="7"/>
      <c r="E17" s="7"/>
      <c r="F17" s="10"/>
      <c r="G17" s="7"/>
      <c r="H17" s="7"/>
      <c r="I17" s="7"/>
      <c r="J17" s="7"/>
      <c r="K17" s="11" t="str">
        <f aca="false">IF(A17="","",IF(OR(C17="",D17="",G17="",J17="",COUNTIF(C17:D17,"Prüfung offen")&gt;0,COUNTIF(H17:I17,"Prüfung offen")&gt;0,AND(D17="Ja",OR(E17="",E17="noch offen")),AND(G17&lt;&gt;"keiner",OR(H17="",AND(H17&lt;&gt;"Ja",I17="")))),"noch offen — Angaben unvollständig",IF(C17="Ja","VERBOTEN (Art. 5)",IF(AND(D17="Ja",E17="Abschnitt B",G17&lt;&gt;"keiner"),"Hochrisiko Anhang I Abschnitt B UND Anhang III — gesondert prüfen",IF(AND(D17="Ja",E17="Abschnitt B"),"Hochrisiko Anhang I Abschnitt B (Sektorrecht)",IF(AND(D17="Ja",G17&lt;&gt;"keiner"),"Hochrisiko Anhang I Abschnitt A und Anhang III",IF(D17="Ja","Hochrisiko Anhang I Abschnitt A",IF(G17&lt;&gt;"keiner",IF(H17="Ja","Hochrisiko Anhang III",IF(I17="Ja","Kein Hochrisiko (Art. 6 Abs. 3)","Hochrisiko Anhang III")),IF(J17&lt;&gt;"keiner","Transparenzpflicht (Art. 50)","Geringes Risiko")))))))))</f>
        <v/>
      </c>
      <c r="L17" s="11" t="str">
        <f aca="false">IF(K17="","",IF(K17="VERBOTEN (Art. 5)","02.02.2025 (NCII/CSAM: 02.12.2026)",IF(LEFT(K17,10)="noch offen","keine Frist — Einstufung zuerst abschließen",IF(K17="Hochrisiko Anhang I Abschnitt B (Sektorrecht)","Kapitel III gilt nicht. Es gelten nur Art. 6 Abs. 1, Art. 60a und Art. 102–112 (Art. 2 Abs. 2 n. F.). Frist und Pflichten folgen aus dem Sektorrecht — bei Maschinen: Anhang III VO (EU) 2023/1230, delegierter Rechtsakt ab 02.08.2028.",IF(K17="Hochrisiko Anhang I Abschnitt B UND Anhang III — gesondert prüfen","Uneinheitlich: Für den Anhang-I-Teil gilt Art. 2 Abs. 2 n. F. (nur Art. 6 Abs. 1, 60a, 102–112), für den Anhang-III-Teil der 02.12.2027. Juristisch klären.",IF(K17="Hochrisiko Anhang I Abschnitt A und Anhang III","02.12.2027 (Anhang III) / 02.08.2028 (Anhang I Abschnitt A) — Planungsannahme",IF(K17="Hochrisiko Anhang I Abschnitt A","02.08.2028 — Planungsannahme; Vorbehalt delegierter Rechtsakte nach Art. 2 Abs. 13 n. F. (bis 02.08.2027)",IF(K17="Hochrisiko Anhang III","02.12.2027 — Planungsannahme",IF(K17="Transparenzpflicht (Art. 50)","02.08.2026",IF(K17="Kein Hochrisiko (Art. 6 Abs. 3)","Registrierung nach Art. 49 Abs. 2; Bewertung VOR Inverkehrbringen dokumentieren","keine besonderen Pflichten aus den hier geprüften Kategorien — Art. 4 und übriges Recht (DSGVO, Arbeitsrecht, Urheberrecht) weiter prüfen"))))))))))</f>
        <v/>
      </c>
      <c r="M17" s="11" t="str">
        <f aca="false">IF(K17="","",IF(LEFT(K17,10)="noch offen","noch offen",IF(K17="Kein Hochrisiko (Art. 6 Abs. 3)","Ja — Art. 49 Abs. 2 (Anbieter); Bewertung VOR Inverkehrbringen dokumentieren (Art. 6 Abs. 4)",IF(K17="Hochrisiko Anhang I Abschnitt B (Sektorrecht)","Nein — Art. 49 ist nach Art. 2 Abs. 2 n. F. nicht anwendbar",IF(K17="Hochrisiko Anhang I Abschnitt A","Nein — Art. 49 Abs. 1 gilt nur für Anhang III",IF(AND(LEFT(G17,1)="2",ISNUMBER(SEARCH("Anhang III",K17))),"Nein — Registrierung auf nationaler Ebene (Art. 49 Abs. 5)",IF(ISNUMBER(SEARCH("Anhang III",K17)),"Ja — Art. 49 Abs. 1 (Anbieter); Behörden als Betreiber: Art. 49 Abs. 3","Nein")))))))</f>
        <v/>
      </c>
      <c r="N17" s="11" t="str">
        <f aca="false">IF(A17="","",IF(K17="VERBOTEN (Art. 5)","entfällt — Einsatz unzulässig",IF(K17="Hochrisiko Anhang I Abschnitt B (Sektorrecht)","Nein — Art. 50 ist nach Art. 2 Abs. 2 n. F. nicht anwendbar",IF(AND(J17&lt;&gt;"",J17&lt;&gt;"keiner"),"Ja — Art. 50 gilt zusätzlich ab 02.08.2026","Nein"))))</f>
        <v/>
      </c>
      <c r="O17" s="7"/>
      <c r="P17" s="11" t="str">
        <f aca="false">IF(K17="","",IF(LEFT(K17,10)="noch offen","Prüfung unvollständig",IF(O17="Ja","Einstufung bestätigt",IF(O17="Nein","Juristische Prüfung erforderlich","Arbeitsannahme — nicht bestätigt"))))</f>
        <v/>
      </c>
      <c r="Q17" s="10"/>
      <c r="R17" s="12"/>
      <c r="S17" s="10"/>
      <c r="T17" s="10"/>
    </row>
    <row r="18" customFormat="false" ht="25.5" hidden="false" customHeight="true" outlineLevel="0" collapsed="false">
      <c r="A18" s="7"/>
      <c r="B18" s="11" t="str">
        <f aca="false">IF(A18="","",IFERROR(INDEX('01_KI-Inventar'!$B$6:$B$65,MATCH(A18,'01_KI-Inventar'!$A$6:$A$65,0)),""))</f>
        <v/>
      </c>
      <c r="C18" s="7"/>
      <c r="D18" s="7"/>
      <c r="E18" s="7"/>
      <c r="F18" s="10"/>
      <c r="G18" s="7"/>
      <c r="H18" s="7"/>
      <c r="I18" s="7"/>
      <c r="J18" s="7"/>
      <c r="K18" s="11" t="str">
        <f aca="false">IF(A18="","",IF(OR(C18="",D18="",G18="",J18="",COUNTIF(C18:D18,"Prüfung offen")&gt;0,COUNTIF(H18:I18,"Prüfung offen")&gt;0,AND(D18="Ja",OR(E18="",E18="noch offen")),AND(G18&lt;&gt;"keiner",OR(H18="",AND(H18&lt;&gt;"Ja",I18="")))),"noch offen — Angaben unvollständig",IF(C18="Ja","VERBOTEN (Art. 5)",IF(AND(D18="Ja",E18="Abschnitt B",G18&lt;&gt;"keiner"),"Hochrisiko Anhang I Abschnitt B UND Anhang III — gesondert prüfen",IF(AND(D18="Ja",E18="Abschnitt B"),"Hochrisiko Anhang I Abschnitt B (Sektorrecht)",IF(AND(D18="Ja",G18&lt;&gt;"keiner"),"Hochrisiko Anhang I Abschnitt A und Anhang III",IF(D18="Ja","Hochrisiko Anhang I Abschnitt A",IF(G18&lt;&gt;"keiner",IF(H18="Ja","Hochrisiko Anhang III",IF(I18="Ja","Kein Hochrisiko (Art. 6 Abs. 3)","Hochrisiko Anhang III")),IF(J18&lt;&gt;"keiner","Transparenzpflicht (Art. 50)","Geringes Risiko")))))))))</f>
        <v/>
      </c>
      <c r="L18" s="11" t="str">
        <f aca="false">IF(K18="","",IF(K18="VERBOTEN (Art. 5)","02.02.2025 (NCII/CSAM: 02.12.2026)",IF(LEFT(K18,10)="noch offen","keine Frist — Einstufung zuerst abschließen",IF(K18="Hochrisiko Anhang I Abschnitt B (Sektorrecht)","Kapitel III gilt nicht. Es gelten nur Art. 6 Abs. 1, Art. 60a und Art. 102–112 (Art. 2 Abs. 2 n. F.). Frist und Pflichten folgen aus dem Sektorrecht — bei Maschinen: Anhang III VO (EU) 2023/1230, delegierter Rechtsakt ab 02.08.2028.",IF(K18="Hochrisiko Anhang I Abschnitt B UND Anhang III — gesondert prüfen","Uneinheitlich: Für den Anhang-I-Teil gilt Art. 2 Abs. 2 n. F. (nur Art. 6 Abs. 1, 60a, 102–112), für den Anhang-III-Teil der 02.12.2027. Juristisch klären.",IF(K18="Hochrisiko Anhang I Abschnitt A und Anhang III","02.12.2027 (Anhang III) / 02.08.2028 (Anhang I Abschnitt A) — Planungsannahme",IF(K18="Hochrisiko Anhang I Abschnitt A","02.08.2028 — Planungsannahme; Vorbehalt delegierter Rechtsakte nach Art. 2 Abs. 13 n. F. (bis 02.08.2027)",IF(K18="Hochrisiko Anhang III","02.12.2027 — Planungsannahme",IF(K18="Transparenzpflicht (Art. 50)","02.08.2026",IF(K18="Kein Hochrisiko (Art. 6 Abs. 3)","Registrierung nach Art. 49 Abs. 2; Bewertung VOR Inverkehrbringen dokumentieren","keine besonderen Pflichten aus den hier geprüften Kategorien — Art. 4 und übriges Recht (DSGVO, Arbeitsrecht, Urheberrecht) weiter prüfen"))))))))))</f>
        <v/>
      </c>
      <c r="M18" s="11" t="str">
        <f aca="false">IF(K18="","",IF(LEFT(K18,10)="noch offen","noch offen",IF(K18="Kein Hochrisiko (Art. 6 Abs. 3)","Ja — Art. 49 Abs. 2 (Anbieter); Bewertung VOR Inverkehrbringen dokumentieren (Art. 6 Abs. 4)",IF(K18="Hochrisiko Anhang I Abschnitt B (Sektorrecht)","Nein — Art. 49 ist nach Art. 2 Abs. 2 n. F. nicht anwendbar",IF(K18="Hochrisiko Anhang I Abschnitt A","Nein — Art. 49 Abs. 1 gilt nur für Anhang III",IF(AND(LEFT(G18,1)="2",ISNUMBER(SEARCH("Anhang III",K18))),"Nein — Registrierung auf nationaler Ebene (Art. 49 Abs. 5)",IF(ISNUMBER(SEARCH("Anhang III",K18)),"Ja — Art. 49 Abs. 1 (Anbieter); Behörden als Betreiber: Art. 49 Abs. 3","Nein")))))))</f>
        <v/>
      </c>
      <c r="N18" s="11" t="str">
        <f aca="false">IF(A18="","",IF(K18="VERBOTEN (Art. 5)","entfällt — Einsatz unzulässig",IF(K18="Hochrisiko Anhang I Abschnitt B (Sektorrecht)","Nein — Art. 50 ist nach Art. 2 Abs. 2 n. F. nicht anwendbar",IF(AND(J18&lt;&gt;"",J18&lt;&gt;"keiner"),"Ja — Art. 50 gilt zusätzlich ab 02.08.2026","Nein"))))</f>
        <v/>
      </c>
      <c r="O18" s="7"/>
      <c r="P18" s="11" t="str">
        <f aca="false">IF(K18="","",IF(LEFT(K18,10)="noch offen","Prüfung unvollständig",IF(O18="Ja","Einstufung bestätigt",IF(O18="Nein","Juristische Prüfung erforderlich","Arbeitsannahme — nicht bestätigt"))))</f>
        <v/>
      </c>
      <c r="Q18" s="10"/>
      <c r="R18" s="12"/>
      <c r="S18" s="10"/>
      <c r="T18" s="10"/>
    </row>
    <row r="19" customFormat="false" ht="25.5" hidden="false" customHeight="true" outlineLevel="0" collapsed="false">
      <c r="A19" s="7"/>
      <c r="B19" s="11" t="str">
        <f aca="false">IF(A19="","",IFERROR(INDEX('01_KI-Inventar'!$B$6:$B$65,MATCH(A19,'01_KI-Inventar'!$A$6:$A$65,0)),""))</f>
        <v/>
      </c>
      <c r="C19" s="7"/>
      <c r="D19" s="7"/>
      <c r="E19" s="7"/>
      <c r="F19" s="10"/>
      <c r="G19" s="7"/>
      <c r="H19" s="7"/>
      <c r="I19" s="7"/>
      <c r="J19" s="7"/>
      <c r="K19" s="11" t="str">
        <f aca="false">IF(A19="","",IF(OR(C19="",D19="",G19="",J19="",COUNTIF(C19:D19,"Prüfung offen")&gt;0,COUNTIF(H19:I19,"Prüfung offen")&gt;0,AND(D19="Ja",OR(E19="",E19="noch offen")),AND(G19&lt;&gt;"keiner",OR(H19="",AND(H19&lt;&gt;"Ja",I19="")))),"noch offen — Angaben unvollständig",IF(C19="Ja","VERBOTEN (Art. 5)",IF(AND(D19="Ja",E19="Abschnitt B",G19&lt;&gt;"keiner"),"Hochrisiko Anhang I Abschnitt B UND Anhang III — gesondert prüfen",IF(AND(D19="Ja",E19="Abschnitt B"),"Hochrisiko Anhang I Abschnitt B (Sektorrecht)",IF(AND(D19="Ja",G19&lt;&gt;"keiner"),"Hochrisiko Anhang I Abschnitt A und Anhang III",IF(D19="Ja","Hochrisiko Anhang I Abschnitt A",IF(G19&lt;&gt;"keiner",IF(H19="Ja","Hochrisiko Anhang III",IF(I19="Ja","Kein Hochrisiko (Art. 6 Abs. 3)","Hochrisiko Anhang III")),IF(J19&lt;&gt;"keiner","Transparenzpflicht (Art. 50)","Geringes Risiko")))))))))</f>
        <v/>
      </c>
      <c r="L19" s="11" t="str">
        <f aca="false">IF(K19="","",IF(K19="VERBOTEN (Art. 5)","02.02.2025 (NCII/CSAM: 02.12.2026)",IF(LEFT(K19,10)="noch offen","keine Frist — Einstufung zuerst abschließen",IF(K19="Hochrisiko Anhang I Abschnitt B (Sektorrecht)","Kapitel III gilt nicht. Es gelten nur Art. 6 Abs. 1, Art. 60a und Art. 102–112 (Art. 2 Abs. 2 n. F.). Frist und Pflichten folgen aus dem Sektorrecht — bei Maschinen: Anhang III VO (EU) 2023/1230, delegierter Rechtsakt ab 02.08.2028.",IF(K19="Hochrisiko Anhang I Abschnitt B UND Anhang III — gesondert prüfen","Uneinheitlich: Für den Anhang-I-Teil gilt Art. 2 Abs. 2 n. F. (nur Art. 6 Abs. 1, 60a, 102–112), für den Anhang-III-Teil der 02.12.2027. Juristisch klären.",IF(K19="Hochrisiko Anhang I Abschnitt A und Anhang III","02.12.2027 (Anhang III) / 02.08.2028 (Anhang I Abschnitt A) — Planungsannahme",IF(K19="Hochrisiko Anhang I Abschnitt A","02.08.2028 — Planungsannahme; Vorbehalt delegierter Rechtsakte nach Art. 2 Abs. 13 n. F. (bis 02.08.2027)",IF(K19="Hochrisiko Anhang III","02.12.2027 — Planungsannahme",IF(K19="Transparenzpflicht (Art. 50)","02.08.2026",IF(K19="Kein Hochrisiko (Art. 6 Abs. 3)","Registrierung nach Art. 49 Abs. 2; Bewertung VOR Inverkehrbringen dokumentieren","keine besonderen Pflichten aus den hier geprüften Kategorien — Art. 4 und übriges Recht (DSGVO, Arbeitsrecht, Urheberrecht) weiter prüfen"))))))))))</f>
        <v/>
      </c>
      <c r="M19" s="11" t="str">
        <f aca="false">IF(K19="","",IF(LEFT(K19,10)="noch offen","noch offen",IF(K19="Kein Hochrisiko (Art. 6 Abs. 3)","Ja — Art. 49 Abs. 2 (Anbieter); Bewertung VOR Inverkehrbringen dokumentieren (Art. 6 Abs. 4)",IF(K19="Hochrisiko Anhang I Abschnitt B (Sektorrecht)","Nein — Art. 49 ist nach Art. 2 Abs. 2 n. F. nicht anwendbar",IF(K19="Hochrisiko Anhang I Abschnitt A","Nein — Art. 49 Abs. 1 gilt nur für Anhang III",IF(AND(LEFT(G19,1)="2",ISNUMBER(SEARCH("Anhang III",K19))),"Nein — Registrierung auf nationaler Ebene (Art. 49 Abs. 5)",IF(ISNUMBER(SEARCH("Anhang III",K19)),"Ja — Art. 49 Abs. 1 (Anbieter); Behörden als Betreiber: Art. 49 Abs. 3","Nein")))))))</f>
        <v/>
      </c>
      <c r="N19" s="11" t="str">
        <f aca="false">IF(A19="","",IF(K19="VERBOTEN (Art. 5)","entfällt — Einsatz unzulässig",IF(K19="Hochrisiko Anhang I Abschnitt B (Sektorrecht)","Nein — Art. 50 ist nach Art. 2 Abs. 2 n. F. nicht anwendbar",IF(AND(J19&lt;&gt;"",J19&lt;&gt;"keiner"),"Ja — Art. 50 gilt zusätzlich ab 02.08.2026","Nein"))))</f>
        <v/>
      </c>
      <c r="O19" s="7"/>
      <c r="P19" s="11" t="str">
        <f aca="false">IF(K19="","",IF(LEFT(K19,10)="noch offen","Prüfung unvollständig",IF(O19="Ja","Einstufung bestätigt",IF(O19="Nein","Juristische Prüfung erforderlich","Arbeitsannahme — nicht bestätigt"))))</f>
        <v/>
      </c>
      <c r="Q19" s="10"/>
      <c r="R19" s="12"/>
      <c r="S19" s="10"/>
      <c r="T19" s="10"/>
    </row>
    <row r="20" customFormat="false" ht="25.5" hidden="false" customHeight="true" outlineLevel="0" collapsed="false">
      <c r="A20" s="7"/>
      <c r="B20" s="11" t="str">
        <f aca="false">IF(A20="","",IFERROR(INDEX('01_KI-Inventar'!$B$6:$B$65,MATCH(A20,'01_KI-Inventar'!$A$6:$A$65,0)),""))</f>
        <v/>
      </c>
      <c r="C20" s="7"/>
      <c r="D20" s="7"/>
      <c r="E20" s="7"/>
      <c r="F20" s="10"/>
      <c r="G20" s="7"/>
      <c r="H20" s="7"/>
      <c r="I20" s="7"/>
      <c r="J20" s="7"/>
      <c r="K20" s="11" t="str">
        <f aca="false">IF(A20="","",IF(OR(C20="",D20="",G20="",J20="",COUNTIF(C20:D20,"Prüfung offen")&gt;0,COUNTIF(H20:I20,"Prüfung offen")&gt;0,AND(D20="Ja",OR(E20="",E20="noch offen")),AND(G20&lt;&gt;"keiner",OR(H20="",AND(H20&lt;&gt;"Ja",I20="")))),"noch offen — Angaben unvollständig",IF(C20="Ja","VERBOTEN (Art. 5)",IF(AND(D20="Ja",E20="Abschnitt B",G20&lt;&gt;"keiner"),"Hochrisiko Anhang I Abschnitt B UND Anhang III — gesondert prüfen",IF(AND(D20="Ja",E20="Abschnitt B"),"Hochrisiko Anhang I Abschnitt B (Sektorrecht)",IF(AND(D20="Ja",G20&lt;&gt;"keiner"),"Hochrisiko Anhang I Abschnitt A und Anhang III",IF(D20="Ja","Hochrisiko Anhang I Abschnitt A",IF(G20&lt;&gt;"keiner",IF(H20="Ja","Hochrisiko Anhang III",IF(I20="Ja","Kein Hochrisiko (Art. 6 Abs. 3)","Hochrisiko Anhang III")),IF(J20&lt;&gt;"keiner","Transparenzpflicht (Art. 50)","Geringes Risiko")))))))))</f>
        <v/>
      </c>
      <c r="L20" s="11" t="str">
        <f aca="false">IF(K20="","",IF(K20="VERBOTEN (Art. 5)","02.02.2025 (NCII/CSAM: 02.12.2026)",IF(LEFT(K20,10)="noch offen","keine Frist — Einstufung zuerst abschließen",IF(K20="Hochrisiko Anhang I Abschnitt B (Sektorrecht)","Kapitel III gilt nicht. Es gelten nur Art. 6 Abs. 1, Art. 60a und Art. 102–112 (Art. 2 Abs. 2 n. F.). Frist und Pflichten folgen aus dem Sektorrecht — bei Maschinen: Anhang III VO (EU) 2023/1230, delegierter Rechtsakt ab 02.08.2028.",IF(K20="Hochrisiko Anhang I Abschnitt B UND Anhang III — gesondert prüfen","Uneinheitlich: Für den Anhang-I-Teil gilt Art. 2 Abs. 2 n. F. (nur Art. 6 Abs. 1, 60a, 102–112), für den Anhang-III-Teil der 02.12.2027. Juristisch klären.",IF(K20="Hochrisiko Anhang I Abschnitt A und Anhang III","02.12.2027 (Anhang III) / 02.08.2028 (Anhang I Abschnitt A) — Planungsannahme",IF(K20="Hochrisiko Anhang I Abschnitt A","02.08.2028 — Planungsannahme; Vorbehalt delegierter Rechtsakte nach Art. 2 Abs. 13 n. F. (bis 02.08.2027)",IF(K20="Hochrisiko Anhang III","02.12.2027 — Planungsannahme",IF(K20="Transparenzpflicht (Art. 50)","02.08.2026",IF(K20="Kein Hochrisiko (Art. 6 Abs. 3)","Registrierung nach Art. 49 Abs. 2; Bewertung VOR Inverkehrbringen dokumentieren","keine besonderen Pflichten aus den hier geprüften Kategorien — Art. 4 und übriges Recht (DSGVO, Arbeitsrecht, Urheberrecht) weiter prüfen"))))))))))</f>
        <v/>
      </c>
      <c r="M20" s="11" t="str">
        <f aca="false">IF(K20="","",IF(LEFT(K20,10)="noch offen","noch offen",IF(K20="Kein Hochrisiko (Art. 6 Abs. 3)","Ja — Art. 49 Abs. 2 (Anbieter); Bewertung VOR Inverkehrbringen dokumentieren (Art. 6 Abs. 4)",IF(K20="Hochrisiko Anhang I Abschnitt B (Sektorrecht)","Nein — Art. 49 ist nach Art. 2 Abs. 2 n. F. nicht anwendbar",IF(K20="Hochrisiko Anhang I Abschnitt A","Nein — Art. 49 Abs. 1 gilt nur für Anhang III",IF(AND(LEFT(G20,1)="2",ISNUMBER(SEARCH("Anhang III",K20))),"Nein — Registrierung auf nationaler Ebene (Art. 49 Abs. 5)",IF(ISNUMBER(SEARCH("Anhang III",K20)),"Ja — Art. 49 Abs. 1 (Anbieter); Behörden als Betreiber: Art. 49 Abs. 3","Nein")))))))</f>
        <v/>
      </c>
      <c r="N20" s="11" t="str">
        <f aca="false">IF(A20="","",IF(K20="VERBOTEN (Art. 5)","entfällt — Einsatz unzulässig",IF(K20="Hochrisiko Anhang I Abschnitt B (Sektorrecht)","Nein — Art. 50 ist nach Art. 2 Abs. 2 n. F. nicht anwendbar",IF(AND(J20&lt;&gt;"",J20&lt;&gt;"keiner"),"Ja — Art. 50 gilt zusätzlich ab 02.08.2026","Nein"))))</f>
        <v/>
      </c>
      <c r="O20" s="7"/>
      <c r="P20" s="11" t="str">
        <f aca="false">IF(K20="","",IF(LEFT(K20,10)="noch offen","Prüfung unvollständig",IF(O20="Ja","Einstufung bestätigt",IF(O20="Nein","Juristische Prüfung erforderlich","Arbeitsannahme — nicht bestätigt"))))</f>
        <v/>
      </c>
      <c r="Q20" s="10"/>
      <c r="R20" s="12"/>
      <c r="S20" s="10"/>
      <c r="T20" s="10"/>
    </row>
    <row r="21" customFormat="false" ht="25.5" hidden="false" customHeight="true" outlineLevel="0" collapsed="false">
      <c r="A21" s="7"/>
      <c r="B21" s="11" t="str">
        <f aca="false">IF(A21="","",IFERROR(INDEX('01_KI-Inventar'!$B$6:$B$65,MATCH(A21,'01_KI-Inventar'!$A$6:$A$65,0)),""))</f>
        <v/>
      </c>
      <c r="C21" s="7"/>
      <c r="D21" s="7"/>
      <c r="E21" s="7"/>
      <c r="F21" s="10"/>
      <c r="G21" s="7"/>
      <c r="H21" s="7"/>
      <c r="I21" s="7"/>
      <c r="J21" s="7"/>
      <c r="K21" s="11" t="str">
        <f aca="false">IF(A21="","",IF(OR(C21="",D21="",G21="",J21="",COUNTIF(C21:D21,"Prüfung offen")&gt;0,COUNTIF(H21:I21,"Prüfung offen")&gt;0,AND(D21="Ja",OR(E21="",E21="noch offen")),AND(G21&lt;&gt;"keiner",OR(H21="",AND(H21&lt;&gt;"Ja",I21="")))),"noch offen — Angaben unvollständig",IF(C21="Ja","VERBOTEN (Art. 5)",IF(AND(D21="Ja",E21="Abschnitt B",G21&lt;&gt;"keiner"),"Hochrisiko Anhang I Abschnitt B UND Anhang III — gesondert prüfen",IF(AND(D21="Ja",E21="Abschnitt B"),"Hochrisiko Anhang I Abschnitt B (Sektorrecht)",IF(AND(D21="Ja",G21&lt;&gt;"keiner"),"Hochrisiko Anhang I Abschnitt A und Anhang III",IF(D21="Ja","Hochrisiko Anhang I Abschnitt A",IF(G21&lt;&gt;"keiner",IF(H21="Ja","Hochrisiko Anhang III",IF(I21="Ja","Kein Hochrisiko (Art. 6 Abs. 3)","Hochrisiko Anhang III")),IF(J21&lt;&gt;"keiner","Transparenzpflicht (Art. 50)","Geringes Risiko")))))))))</f>
        <v/>
      </c>
      <c r="L21" s="11" t="str">
        <f aca="false">IF(K21="","",IF(K21="VERBOTEN (Art. 5)","02.02.2025 (NCII/CSAM: 02.12.2026)",IF(LEFT(K21,10)="noch offen","keine Frist — Einstufung zuerst abschließen",IF(K21="Hochrisiko Anhang I Abschnitt B (Sektorrecht)","Kapitel III gilt nicht. Es gelten nur Art. 6 Abs. 1, Art. 60a und Art. 102–112 (Art. 2 Abs. 2 n. F.). Frist und Pflichten folgen aus dem Sektorrecht — bei Maschinen: Anhang III VO (EU) 2023/1230, delegierter Rechtsakt ab 02.08.2028.",IF(K21="Hochrisiko Anhang I Abschnitt B UND Anhang III — gesondert prüfen","Uneinheitlich: Für den Anhang-I-Teil gilt Art. 2 Abs. 2 n. F. (nur Art. 6 Abs. 1, 60a, 102–112), für den Anhang-III-Teil der 02.12.2027. Juristisch klären.",IF(K21="Hochrisiko Anhang I Abschnitt A und Anhang III","02.12.2027 (Anhang III) / 02.08.2028 (Anhang I Abschnitt A) — Planungsannahme",IF(K21="Hochrisiko Anhang I Abschnitt A","02.08.2028 — Planungsannahme; Vorbehalt delegierter Rechtsakte nach Art. 2 Abs. 13 n. F. (bis 02.08.2027)",IF(K21="Hochrisiko Anhang III","02.12.2027 — Planungsannahme",IF(K21="Transparenzpflicht (Art. 50)","02.08.2026",IF(K21="Kein Hochrisiko (Art. 6 Abs. 3)","Registrierung nach Art. 49 Abs. 2; Bewertung VOR Inverkehrbringen dokumentieren","keine besonderen Pflichten aus den hier geprüften Kategorien — Art. 4 und übriges Recht (DSGVO, Arbeitsrecht, Urheberrecht) weiter prüfen"))))))))))</f>
        <v/>
      </c>
      <c r="M21" s="11" t="str">
        <f aca="false">IF(K21="","",IF(LEFT(K21,10)="noch offen","noch offen",IF(K21="Kein Hochrisiko (Art. 6 Abs. 3)","Ja — Art. 49 Abs. 2 (Anbieter); Bewertung VOR Inverkehrbringen dokumentieren (Art. 6 Abs. 4)",IF(K21="Hochrisiko Anhang I Abschnitt B (Sektorrecht)","Nein — Art. 49 ist nach Art. 2 Abs. 2 n. F. nicht anwendbar",IF(K21="Hochrisiko Anhang I Abschnitt A","Nein — Art. 49 Abs. 1 gilt nur für Anhang III",IF(AND(LEFT(G21,1)="2",ISNUMBER(SEARCH("Anhang III",K21))),"Nein — Registrierung auf nationaler Ebene (Art. 49 Abs. 5)",IF(ISNUMBER(SEARCH("Anhang III",K21)),"Ja — Art. 49 Abs. 1 (Anbieter); Behörden als Betreiber: Art. 49 Abs. 3","Nein")))))))</f>
        <v/>
      </c>
      <c r="N21" s="11" t="str">
        <f aca="false">IF(A21="","",IF(K21="VERBOTEN (Art. 5)","entfällt — Einsatz unzulässig",IF(K21="Hochrisiko Anhang I Abschnitt B (Sektorrecht)","Nein — Art. 50 ist nach Art. 2 Abs. 2 n. F. nicht anwendbar",IF(AND(J21&lt;&gt;"",J21&lt;&gt;"keiner"),"Ja — Art. 50 gilt zusätzlich ab 02.08.2026","Nein"))))</f>
        <v/>
      </c>
      <c r="O21" s="7"/>
      <c r="P21" s="11" t="str">
        <f aca="false">IF(K21="","",IF(LEFT(K21,10)="noch offen","Prüfung unvollständig",IF(O21="Ja","Einstufung bestätigt",IF(O21="Nein","Juristische Prüfung erforderlich","Arbeitsannahme — nicht bestätigt"))))</f>
        <v/>
      </c>
      <c r="Q21" s="10"/>
      <c r="R21" s="12"/>
      <c r="S21" s="10"/>
      <c r="T21" s="10"/>
    </row>
    <row r="22" customFormat="false" ht="25.5" hidden="false" customHeight="true" outlineLevel="0" collapsed="false">
      <c r="A22" s="7"/>
      <c r="B22" s="11" t="str">
        <f aca="false">IF(A22="","",IFERROR(INDEX('01_KI-Inventar'!$B$6:$B$65,MATCH(A22,'01_KI-Inventar'!$A$6:$A$65,0)),""))</f>
        <v/>
      </c>
      <c r="C22" s="7"/>
      <c r="D22" s="7"/>
      <c r="E22" s="7"/>
      <c r="F22" s="10"/>
      <c r="G22" s="7"/>
      <c r="H22" s="7"/>
      <c r="I22" s="7"/>
      <c r="J22" s="7"/>
      <c r="K22" s="11" t="str">
        <f aca="false">IF(A22="","",IF(OR(C22="",D22="",G22="",J22="",COUNTIF(C22:D22,"Prüfung offen")&gt;0,COUNTIF(H22:I22,"Prüfung offen")&gt;0,AND(D22="Ja",OR(E22="",E22="noch offen")),AND(G22&lt;&gt;"keiner",OR(H22="",AND(H22&lt;&gt;"Ja",I22="")))),"noch offen — Angaben unvollständig",IF(C22="Ja","VERBOTEN (Art. 5)",IF(AND(D22="Ja",E22="Abschnitt B",G22&lt;&gt;"keiner"),"Hochrisiko Anhang I Abschnitt B UND Anhang III — gesondert prüfen",IF(AND(D22="Ja",E22="Abschnitt B"),"Hochrisiko Anhang I Abschnitt B (Sektorrecht)",IF(AND(D22="Ja",G22&lt;&gt;"keiner"),"Hochrisiko Anhang I Abschnitt A und Anhang III",IF(D22="Ja","Hochrisiko Anhang I Abschnitt A",IF(G22&lt;&gt;"keiner",IF(H22="Ja","Hochrisiko Anhang III",IF(I22="Ja","Kein Hochrisiko (Art. 6 Abs. 3)","Hochrisiko Anhang III")),IF(J22&lt;&gt;"keiner","Transparenzpflicht (Art. 50)","Geringes Risiko")))))))))</f>
        <v/>
      </c>
      <c r="L22" s="11" t="str">
        <f aca="false">IF(K22="","",IF(K22="VERBOTEN (Art. 5)","02.02.2025 (NCII/CSAM: 02.12.2026)",IF(LEFT(K22,10)="noch offen","keine Frist — Einstufung zuerst abschließen",IF(K22="Hochrisiko Anhang I Abschnitt B (Sektorrecht)","Kapitel III gilt nicht. Es gelten nur Art. 6 Abs. 1, Art. 60a und Art. 102–112 (Art. 2 Abs. 2 n. F.). Frist und Pflichten folgen aus dem Sektorrecht — bei Maschinen: Anhang III VO (EU) 2023/1230, delegierter Rechtsakt ab 02.08.2028.",IF(K22="Hochrisiko Anhang I Abschnitt B UND Anhang III — gesondert prüfen","Uneinheitlich: Für den Anhang-I-Teil gilt Art. 2 Abs. 2 n. F. (nur Art. 6 Abs. 1, 60a, 102–112), für den Anhang-III-Teil der 02.12.2027. Juristisch klären.",IF(K22="Hochrisiko Anhang I Abschnitt A und Anhang III","02.12.2027 (Anhang III) / 02.08.2028 (Anhang I Abschnitt A) — Planungsannahme",IF(K22="Hochrisiko Anhang I Abschnitt A","02.08.2028 — Planungsannahme; Vorbehalt delegierter Rechtsakte nach Art. 2 Abs. 13 n. F. (bis 02.08.2027)",IF(K22="Hochrisiko Anhang III","02.12.2027 — Planungsannahme",IF(K22="Transparenzpflicht (Art. 50)","02.08.2026",IF(K22="Kein Hochrisiko (Art. 6 Abs. 3)","Registrierung nach Art. 49 Abs. 2; Bewertung VOR Inverkehrbringen dokumentieren","keine besonderen Pflichten aus den hier geprüften Kategorien — Art. 4 und übriges Recht (DSGVO, Arbeitsrecht, Urheberrecht) weiter prüfen"))))))))))</f>
        <v/>
      </c>
      <c r="M22" s="11" t="str">
        <f aca="false">IF(K22="","",IF(LEFT(K22,10)="noch offen","noch offen",IF(K22="Kein Hochrisiko (Art. 6 Abs. 3)","Ja — Art. 49 Abs. 2 (Anbieter); Bewertung VOR Inverkehrbringen dokumentieren (Art. 6 Abs. 4)",IF(K22="Hochrisiko Anhang I Abschnitt B (Sektorrecht)","Nein — Art. 49 ist nach Art. 2 Abs. 2 n. F. nicht anwendbar",IF(K22="Hochrisiko Anhang I Abschnitt A","Nein — Art. 49 Abs. 1 gilt nur für Anhang III",IF(AND(LEFT(G22,1)="2",ISNUMBER(SEARCH("Anhang III",K22))),"Nein — Registrierung auf nationaler Ebene (Art. 49 Abs. 5)",IF(ISNUMBER(SEARCH("Anhang III",K22)),"Ja — Art. 49 Abs. 1 (Anbieter); Behörden als Betreiber: Art. 49 Abs. 3","Nein")))))))</f>
        <v/>
      </c>
      <c r="N22" s="11" t="str">
        <f aca="false">IF(A22="","",IF(K22="VERBOTEN (Art. 5)","entfällt — Einsatz unzulässig",IF(K22="Hochrisiko Anhang I Abschnitt B (Sektorrecht)","Nein — Art. 50 ist nach Art. 2 Abs. 2 n. F. nicht anwendbar",IF(AND(J22&lt;&gt;"",J22&lt;&gt;"keiner"),"Ja — Art. 50 gilt zusätzlich ab 02.08.2026","Nein"))))</f>
        <v/>
      </c>
      <c r="O22" s="7"/>
      <c r="P22" s="11" t="str">
        <f aca="false">IF(K22="","",IF(LEFT(K22,10)="noch offen","Prüfung unvollständig",IF(O22="Ja","Einstufung bestätigt",IF(O22="Nein","Juristische Prüfung erforderlich","Arbeitsannahme — nicht bestätigt"))))</f>
        <v/>
      </c>
      <c r="Q22" s="10"/>
      <c r="R22" s="12"/>
      <c r="S22" s="10"/>
      <c r="T22" s="10"/>
    </row>
    <row r="23" customFormat="false" ht="25.5" hidden="false" customHeight="true" outlineLevel="0" collapsed="false">
      <c r="A23" s="7"/>
      <c r="B23" s="11" t="str">
        <f aca="false">IF(A23="","",IFERROR(INDEX('01_KI-Inventar'!$B$6:$B$65,MATCH(A23,'01_KI-Inventar'!$A$6:$A$65,0)),""))</f>
        <v/>
      </c>
      <c r="C23" s="7"/>
      <c r="D23" s="7"/>
      <c r="E23" s="7"/>
      <c r="F23" s="10"/>
      <c r="G23" s="7"/>
      <c r="H23" s="7"/>
      <c r="I23" s="7"/>
      <c r="J23" s="7"/>
      <c r="K23" s="11" t="str">
        <f aca="false">IF(A23="","",IF(OR(C23="",D23="",G23="",J23="",COUNTIF(C23:D23,"Prüfung offen")&gt;0,COUNTIF(H23:I23,"Prüfung offen")&gt;0,AND(D23="Ja",OR(E23="",E23="noch offen")),AND(G23&lt;&gt;"keiner",OR(H23="",AND(H23&lt;&gt;"Ja",I23="")))),"noch offen — Angaben unvollständig",IF(C23="Ja","VERBOTEN (Art. 5)",IF(AND(D23="Ja",E23="Abschnitt B",G23&lt;&gt;"keiner"),"Hochrisiko Anhang I Abschnitt B UND Anhang III — gesondert prüfen",IF(AND(D23="Ja",E23="Abschnitt B"),"Hochrisiko Anhang I Abschnitt B (Sektorrecht)",IF(AND(D23="Ja",G23&lt;&gt;"keiner"),"Hochrisiko Anhang I Abschnitt A und Anhang III",IF(D23="Ja","Hochrisiko Anhang I Abschnitt A",IF(G23&lt;&gt;"keiner",IF(H23="Ja","Hochrisiko Anhang III",IF(I23="Ja","Kein Hochrisiko (Art. 6 Abs. 3)","Hochrisiko Anhang III")),IF(J23&lt;&gt;"keiner","Transparenzpflicht (Art. 50)","Geringes Risiko")))))))))</f>
        <v/>
      </c>
      <c r="L23" s="11" t="str">
        <f aca="false">IF(K23="","",IF(K23="VERBOTEN (Art. 5)","02.02.2025 (NCII/CSAM: 02.12.2026)",IF(LEFT(K23,10)="noch offen","keine Frist — Einstufung zuerst abschließen",IF(K23="Hochrisiko Anhang I Abschnitt B (Sektorrecht)","Kapitel III gilt nicht. Es gelten nur Art. 6 Abs. 1, Art. 60a und Art. 102–112 (Art. 2 Abs. 2 n. F.). Frist und Pflichten folgen aus dem Sektorrecht — bei Maschinen: Anhang III VO (EU) 2023/1230, delegierter Rechtsakt ab 02.08.2028.",IF(K23="Hochrisiko Anhang I Abschnitt B UND Anhang III — gesondert prüfen","Uneinheitlich: Für den Anhang-I-Teil gilt Art. 2 Abs. 2 n. F. (nur Art. 6 Abs. 1, 60a, 102–112), für den Anhang-III-Teil der 02.12.2027. Juristisch klären.",IF(K23="Hochrisiko Anhang I Abschnitt A und Anhang III","02.12.2027 (Anhang III) / 02.08.2028 (Anhang I Abschnitt A) — Planungsannahme",IF(K23="Hochrisiko Anhang I Abschnitt A","02.08.2028 — Planungsannahme; Vorbehalt delegierter Rechtsakte nach Art. 2 Abs. 13 n. F. (bis 02.08.2027)",IF(K23="Hochrisiko Anhang III","02.12.2027 — Planungsannahme",IF(K23="Transparenzpflicht (Art. 50)","02.08.2026",IF(K23="Kein Hochrisiko (Art. 6 Abs. 3)","Registrierung nach Art. 49 Abs. 2; Bewertung VOR Inverkehrbringen dokumentieren","keine besonderen Pflichten aus den hier geprüften Kategorien — Art. 4 und übriges Recht (DSGVO, Arbeitsrecht, Urheberrecht) weiter prüfen"))))))))))</f>
        <v/>
      </c>
      <c r="M23" s="11" t="str">
        <f aca="false">IF(K23="","",IF(LEFT(K23,10)="noch offen","noch offen",IF(K23="Kein Hochrisiko (Art. 6 Abs. 3)","Ja — Art. 49 Abs. 2 (Anbieter); Bewertung VOR Inverkehrbringen dokumentieren (Art. 6 Abs. 4)",IF(K23="Hochrisiko Anhang I Abschnitt B (Sektorrecht)","Nein — Art. 49 ist nach Art. 2 Abs. 2 n. F. nicht anwendbar",IF(K23="Hochrisiko Anhang I Abschnitt A","Nein — Art. 49 Abs. 1 gilt nur für Anhang III",IF(AND(LEFT(G23,1)="2",ISNUMBER(SEARCH("Anhang III",K23))),"Nein — Registrierung auf nationaler Ebene (Art. 49 Abs. 5)",IF(ISNUMBER(SEARCH("Anhang III",K23)),"Ja — Art. 49 Abs. 1 (Anbieter); Behörden als Betreiber: Art. 49 Abs. 3","Nein")))))))</f>
        <v/>
      </c>
      <c r="N23" s="11" t="str">
        <f aca="false">IF(A23="","",IF(K23="VERBOTEN (Art. 5)","entfällt — Einsatz unzulässig",IF(K23="Hochrisiko Anhang I Abschnitt B (Sektorrecht)","Nein — Art. 50 ist nach Art. 2 Abs. 2 n. F. nicht anwendbar",IF(AND(J23&lt;&gt;"",J23&lt;&gt;"keiner"),"Ja — Art. 50 gilt zusätzlich ab 02.08.2026","Nein"))))</f>
        <v/>
      </c>
      <c r="O23" s="7"/>
      <c r="P23" s="11" t="str">
        <f aca="false">IF(K23="","",IF(LEFT(K23,10)="noch offen","Prüfung unvollständig",IF(O23="Ja","Einstufung bestätigt",IF(O23="Nein","Juristische Prüfung erforderlich","Arbeitsannahme — nicht bestätigt"))))</f>
        <v/>
      </c>
      <c r="Q23" s="10"/>
      <c r="R23" s="12"/>
      <c r="S23" s="10"/>
      <c r="T23" s="10"/>
    </row>
    <row r="24" customFormat="false" ht="25.5" hidden="false" customHeight="true" outlineLevel="0" collapsed="false">
      <c r="A24" s="7"/>
      <c r="B24" s="11" t="str">
        <f aca="false">IF(A24="","",IFERROR(INDEX('01_KI-Inventar'!$B$6:$B$65,MATCH(A24,'01_KI-Inventar'!$A$6:$A$65,0)),""))</f>
        <v/>
      </c>
      <c r="C24" s="7"/>
      <c r="D24" s="7"/>
      <c r="E24" s="7"/>
      <c r="F24" s="10"/>
      <c r="G24" s="7"/>
      <c r="H24" s="7"/>
      <c r="I24" s="7"/>
      <c r="J24" s="7"/>
      <c r="K24" s="11" t="str">
        <f aca="false">IF(A24="","",IF(OR(C24="",D24="",G24="",J24="",COUNTIF(C24:D24,"Prüfung offen")&gt;0,COUNTIF(H24:I24,"Prüfung offen")&gt;0,AND(D24="Ja",OR(E24="",E24="noch offen")),AND(G24&lt;&gt;"keiner",OR(H24="",AND(H24&lt;&gt;"Ja",I24="")))),"noch offen — Angaben unvollständig",IF(C24="Ja","VERBOTEN (Art. 5)",IF(AND(D24="Ja",E24="Abschnitt B",G24&lt;&gt;"keiner"),"Hochrisiko Anhang I Abschnitt B UND Anhang III — gesondert prüfen",IF(AND(D24="Ja",E24="Abschnitt B"),"Hochrisiko Anhang I Abschnitt B (Sektorrecht)",IF(AND(D24="Ja",G24&lt;&gt;"keiner"),"Hochrisiko Anhang I Abschnitt A und Anhang III",IF(D24="Ja","Hochrisiko Anhang I Abschnitt A",IF(G24&lt;&gt;"keiner",IF(H24="Ja","Hochrisiko Anhang III",IF(I24="Ja","Kein Hochrisiko (Art. 6 Abs. 3)","Hochrisiko Anhang III")),IF(J24&lt;&gt;"keiner","Transparenzpflicht (Art. 50)","Geringes Risiko")))))))))</f>
        <v/>
      </c>
      <c r="L24" s="11" t="str">
        <f aca="false">IF(K24="","",IF(K24="VERBOTEN (Art. 5)","02.02.2025 (NCII/CSAM: 02.12.2026)",IF(LEFT(K24,10)="noch offen","keine Frist — Einstufung zuerst abschließen",IF(K24="Hochrisiko Anhang I Abschnitt B (Sektorrecht)","Kapitel III gilt nicht. Es gelten nur Art. 6 Abs. 1, Art. 60a und Art. 102–112 (Art. 2 Abs. 2 n. F.). Frist und Pflichten folgen aus dem Sektorrecht — bei Maschinen: Anhang III VO (EU) 2023/1230, delegierter Rechtsakt ab 02.08.2028.",IF(K24="Hochrisiko Anhang I Abschnitt B UND Anhang III — gesondert prüfen","Uneinheitlich: Für den Anhang-I-Teil gilt Art. 2 Abs. 2 n. F. (nur Art. 6 Abs. 1, 60a, 102–112), für den Anhang-III-Teil der 02.12.2027. Juristisch klären.",IF(K24="Hochrisiko Anhang I Abschnitt A und Anhang III","02.12.2027 (Anhang III) / 02.08.2028 (Anhang I Abschnitt A) — Planungsannahme",IF(K24="Hochrisiko Anhang I Abschnitt A","02.08.2028 — Planungsannahme; Vorbehalt delegierter Rechtsakte nach Art. 2 Abs. 13 n. F. (bis 02.08.2027)",IF(K24="Hochrisiko Anhang III","02.12.2027 — Planungsannahme",IF(K24="Transparenzpflicht (Art. 50)","02.08.2026",IF(K24="Kein Hochrisiko (Art. 6 Abs. 3)","Registrierung nach Art. 49 Abs. 2; Bewertung VOR Inverkehrbringen dokumentieren","keine besonderen Pflichten aus den hier geprüften Kategorien — Art. 4 und übriges Recht (DSGVO, Arbeitsrecht, Urheberrecht) weiter prüfen"))))))))))</f>
        <v/>
      </c>
      <c r="M24" s="11" t="str">
        <f aca="false">IF(K24="","",IF(LEFT(K24,10)="noch offen","noch offen",IF(K24="Kein Hochrisiko (Art. 6 Abs. 3)","Ja — Art. 49 Abs. 2 (Anbieter); Bewertung VOR Inverkehrbringen dokumentieren (Art. 6 Abs. 4)",IF(K24="Hochrisiko Anhang I Abschnitt B (Sektorrecht)","Nein — Art. 49 ist nach Art. 2 Abs. 2 n. F. nicht anwendbar",IF(K24="Hochrisiko Anhang I Abschnitt A","Nein — Art. 49 Abs. 1 gilt nur für Anhang III",IF(AND(LEFT(G24,1)="2",ISNUMBER(SEARCH("Anhang III",K24))),"Nein — Registrierung auf nationaler Ebene (Art. 49 Abs. 5)",IF(ISNUMBER(SEARCH("Anhang III",K24)),"Ja — Art. 49 Abs. 1 (Anbieter); Behörden als Betreiber: Art. 49 Abs. 3","Nein")))))))</f>
        <v/>
      </c>
      <c r="N24" s="11" t="str">
        <f aca="false">IF(A24="","",IF(K24="VERBOTEN (Art. 5)","entfällt — Einsatz unzulässig",IF(K24="Hochrisiko Anhang I Abschnitt B (Sektorrecht)","Nein — Art. 50 ist nach Art. 2 Abs. 2 n. F. nicht anwendbar",IF(AND(J24&lt;&gt;"",J24&lt;&gt;"keiner"),"Ja — Art. 50 gilt zusätzlich ab 02.08.2026","Nein"))))</f>
        <v/>
      </c>
      <c r="O24" s="7"/>
      <c r="P24" s="11" t="str">
        <f aca="false">IF(K24="","",IF(LEFT(K24,10)="noch offen","Prüfung unvollständig",IF(O24="Ja","Einstufung bestätigt",IF(O24="Nein","Juristische Prüfung erforderlich","Arbeitsannahme — nicht bestätigt"))))</f>
        <v/>
      </c>
      <c r="Q24" s="10"/>
      <c r="R24" s="12"/>
      <c r="S24" s="10"/>
      <c r="T24" s="10"/>
    </row>
    <row r="25" customFormat="false" ht="25.5" hidden="false" customHeight="true" outlineLevel="0" collapsed="false">
      <c r="A25" s="7"/>
      <c r="B25" s="11" t="str">
        <f aca="false">IF(A25="","",IFERROR(INDEX('01_KI-Inventar'!$B$6:$B$65,MATCH(A25,'01_KI-Inventar'!$A$6:$A$65,0)),""))</f>
        <v/>
      </c>
      <c r="C25" s="7"/>
      <c r="D25" s="7"/>
      <c r="E25" s="7"/>
      <c r="F25" s="10"/>
      <c r="G25" s="7"/>
      <c r="H25" s="7"/>
      <c r="I25" s="7"/>
      <c r="J25" s="7"/>
      <c r="K25" s="11" t="str">
        <f aca="false">IF(A25="","",IF(OR(C25="",D25="",G25="",J25="",COUNTIF(C25:D25,"Prüfung offen")&gt;0,COUNTIF(H25:I25,"Prüfung offen")&gt;0,AND(D25="Ja",OR(E25="",E25="noch offen")),AND(G25&lt;&gt;"keiner",OR(H25="",AND(H25&lt;&gt;"Ja",I25="")))),"noch offen — Angaben unvollständig",IF(C25="Ja","VERBOTEN (Art. 5)",IF(AND(D25="Ja",E25="Abschnitt B",G25&lt;&gt;"keiner"),"Hochrisiko Anhang I Abschnitt B UND Anhang III — gesondert prüfen",IF(AND(D25="Ja",E25="Abschnitt B"),"Hochrisiko Anhang I Abschnitt B (Sektorrecht)",IF(AND(D25="Ja",G25&lt;&gt;"keiner"),"Hochrisiko Anhang I Abschnitt A und Anhang III",IF(D25="Ja","Hochrisiko Anhang I Abschnitt A",IF(G25&lt;&gt;"keiner",IF(H25="Ja","Hochrisiko Anhang III",IF(I25="Ja","Kein Hochrisiko (Art. 6 Abs. 3)","Hochrisiko Anhang III")),IF(J25&lt;&gt;"keiner","Transparenzpflicht (Art. 50)","Geringes Risiko")))))))))</f>
        <v/>
      </c>
      <c r="L25" s="11" t="str">
        <f aca="false">IF(K25="","",IF(K25="VERBOTEN (Art. 5)","02.02.2025 (NCII/CSAM: 02.12.2026)",IF(LEFT(K25,10)="noch offen","keine Frist — Einstufung zuerst abschließen",IF(K25="Hochrisiko Anhang I Abschnitt B (Sektorrecht)","Kapitel III gilt nicht. Es gelten nur Art. 6 Abs. 1, Art. 60a und Art. 102–112 (Art. 2 Abs. 2 n. F.). Frist und Pflichten folgen aus dem Sektorrecht — bei Maschinen: Anhang III VO (EU) 2023/1230, delegierter Rechtsakt ab 02.08.2028.",IF(K25="Hochrisiko Anhang I Abschnitt B UND Anhang III — gesondert prüfen","Uneinheitlich: Für den Anhang-I-Teil gilt Art. 2 Abs. 2 n. F. (nur Art. 6 Abs. 1, 60a, 102–112), für den Anhang-III-Teil der 02.12.2027. Juristisch klären.",IF(K25="Hochrisiko Anhang I Abschnitt A und Anhang III","02.12.2027 (Anhang III) / 02.08.2028 (Anhang I Abschnitt A) — Planungsannahme",IF(K25="Hochrisiko Anhang I Abschnitt A","02.08.2028 — Planungsannahme; Vorbehalt delegierter Rechtsakte nach Art. 2 Abs. 13 n. F. (bis 02.08.2027)",IF(K25="Hochrisiko Anhang III","02.12.2027 — Planungsannahme",IF(K25="Transparenzpflicht (Art. 50)","02.08.2026",IF(K25="Kein Hochrisiko (Art. 6 Abs. 3)","Registrierung nach Art. 49 Abs. 2; Bewertung VOR Inverkehrbringen dokumentieren","keine besonderen Pflichten aus den hier geprüften Kategorien — Art. 4 und übriges Recht (DSGVO, Arbeitsrecht, Urheberrecht) weiter prüfen"))))))))))</f>
        <v/>
      </c>
      <c r="M25" s="11" t="str">
        <f aca="false">IF(K25="","",IF(LEFT(K25,10)="noch offen","noch offen",IF(K25="Kein Hochrisiko (Art. 6 Abs. 3)","Ja — Art. 49 Abs. 2 (Anbieter); Bewertung VOR Inverkehrbringen dokumentieren (Art. 6 Abs. 4)",IF(K25="Hochrisiko Anhang I Abschnitt B (Sektorrecht)","Nein — Art. 49 ist nach Art. 2 Abs. 2 n. F. nicht anwendbar",IF(K25="Hochrisiko Anhang I Abschnitt A","Nein — Art. 49 Abs. 1 gilt nur für Anhang III",IF(AND(LEFT(G25,1)="2",ISNUMBER(SEARCH("Anhang III",K25))),"Nein — Registrierung auf nationaler Ebene (Art. 49 Abs. 5)",IF(ISNUMBER(SEARCH("Anhang III",K25)),"Ja — Art. 49 Abs. 1 (Anbieter); Behörden als Betreiber: Art. 49 Abs. 3","Nein")))))))</f>
        <v/>
      </c>
      <c r="N25" s="11" t="str">
        <f aca="false">IF(A25="","",IF(K25="VERBOTEN (Art. 5)","entfällt — Einsatz unzulässig",IF(K25="Hochrisiko Anhang I Abschnitt B (Sektorrecht)","Nein — Art. 50 ist nach Art. 2 Abs. 2 n. F. nicht anwendbar",IF(AND(J25&lt;&gt;"",J25&lt;&gt;"keiner"),"Ja — Art. 50 gilt zusätzlich ab 02.08.2026","Nein"))))</f>
        <v/>
      </c>
      <c r="O25" s="7"/>
      <c r="P25" s="11" t="str">
        <f aca="false">IF(K25="","",IF(LEFT(K25,10)="noch offen","Prüfung unvollständig",IF(O25="Ja","Einstufung bestätigt",IF(O25="Nein","Juristische Prüfung erforderlich","Arbeitsannahme — nicht bestätigt"))))</f>
        <v/>
      </c>
      <c r="Q25" s="10"/>
      <c r="R25" s="12"/>
      <c r="S25" s="10"/>
      <c r="T25" s="10"/>
    </row>
    <row r="26" customFormat="false" ht="25.5" hidden="false" customHeight="true" outlineLevel="0" collapsed="false">
      <c r="A26" s="7"/>
      <c r="B26" s="11" t="str">
        <f aca="false">IF(A26="","",IFERROR(INDEX('01_KI-Inventar'!$B$6:$B$65,MATCH(A26,'01_KI-Inventar'!$A$6:$A$65,0)),""))</f>
        <v/>
      </c>
      <c r="C26" s="7"/>
      <c r="D26" s="7"/>
      <c r="E26" s="7"/>
      <c r="F26" s="10"/>
      <c r="G26" s="7"/>
      <c r="H26" s="7"/>
      <c r="I26" s="7"/>
      <c r="J26" s="7"/>
      <c r="K26" s="11" t="str">
        <f aca="false">IF(A26="","",IF(OR(C26="",D26="",G26="",J26="",COUNTIF(C26:D26,"Prüfung offen")&gt;0,COUNTIF(H26:I26,"Prüfung offen")&gt;0,AND(D26="Ja",OR(E26="",E26="noch offen")),AND(G26&lt;&gt;"keiner",OR(H26="",AND(H26&lt;&gt;"Ja",I26="")))),"noch offen — Angaben unvollständig",IF(C26="Ja","VERBOTEN (Art. 5)",IF(AND(D26="Ja",E26="Abschnitt B",G26&lt;&gt;"keiner"),"Hochrisiko Anhang I Abschnitt B UND Anhang III — gesondert prüfen",IF(AND(D26="Ja",E26="Abschnitt B"),"Hochrisiko Anhang I Abschnitt B (Sektorrecht)",IF(AND(D26="Ja",G26&lt;&gt;"keiner"),"Hochrisiko Anhang I Abschnitt A und Anhang III",IF(D26="Ja","Hochrisiko Anhang I Abschnitt A",IF(G26&lt;&gt;"keiner",IF(H26="Ja","Hochrisiko Anhang III",IF(I26="Ja","Kein Hochrisiko (Art. 6 Abs. 3)","Hochrisiko Anhang III")),IF(J26&lt;&gt;"keiner","Transparenzpflicht (Art. 50)","Geringes Risiko")))))))))</f>
        <v/>
      </c>
      <c r="L26" s="11" t="str">
        <f aca="false">IF(K26="","",IF(K26="VERBOTEN (Art. 5)","02.02.2025 (NCII/CSAM: 02.12.2026)",IF(LEFT(K26,10)="noch offen","keine Frist — Einstufung zuerst abschließen",IF(K26="Hochrisiko Anhang I Abschnitt B (Sektorrecht)","Kapitel III gilt nicht. Es gelten nur Art. 6 Abs. 1, Art. 60a und Art. 102–112 (Art. 2 Abs. 2 n. F.). Frist und Pflichten folgen aus dem Sektorrecht — bei Maschinen: Anhang III VO (EU) 2023/1230, delegierter Rechtsakt ab 02.08.2028.",IF(K26="Hochrisiko Anhang I Abschnitt B UND Anhang III — gesondert prüfen","Uneinheitlich: Für den Anhang-I-Teil gilt Art. 2 Abs. 2 n. F. (nur Art. 6 Abs. 1, 60a, 102–112), für den Anhang-III-Teil der 02.12.2027. Juristisch klären.",IF(K26="Hochrisiko Anhang I Abschnitt A und Anhang III","02.12.2027 (Anhang III) / 02.08.2028 (Anhang I Abschnitt A) — Planungsannahme",IF(K26="Hochrisiko Anhang I Abschnitt A","02.08.2028 — Planungsannahme; Vorbehalt delegierter Rechtsakte nach Art. 2 Abs. 13 n. F. (bis 02.08.2027)",IF(K26="Hochrisiko Anhang III","02.12.2027 — Planungsannahme",IF(K26="Transparenzpflicht (Art. 50)","02.08.2026",IF(K26="Kein Hochrisiko (Art. 6 Abs. 3)","Registrierung nach Art. 49 Abs. 2; Bewertung VOR Inverkehrbringen dokumentieren","keine besonderen Pflichten aus den hier geprüften Kategorien — Art. 4 und übriges Recht (DSGVO, Arbeitsrecht, Urheberrecht) weiter prüfen"))))))))))</f>
        <v/>
      </c>
      <c r="M26" s="11" t="str">
        <f aca="false">IF(K26="","",IF(LEFT(K26,10)="noch offen","noch offen",IF(K26="Kein Hochrisiko (Art. 6 Abs. 3)","Ja — Art. 49 Abs. 2 (Anbieter); Bewertung VOR Inverkehrbringen dokumentieren (Art. 6 Abs. 4)",IF(K26="Hochrisiko Anhang I Abschnitt B (Sektorrecht)","Nein — Art. 49 ist nach Art. 2 Abs. 2 n. F. nicht anwendbar",IF(K26="Hochrisiko Anhang I Abschnitt A","Nein — Art. 49 Abs. 1 gilt nur für Anhang III",IF(AND(LEFT(G26,1)="2",ISNUMBER(SEARCH("Anhang III",K26))),"Nein — Registrierung auf nationaler Ebene (Art. 49 Abs. 5)",IF(ISNUMBER(SEARCH("Anhang III",K26)),"Ja — Art. 49 Abs. 1 (Anbieter); Behörden als Betreiber: Art. 49 Abs. 3","Nein")))))))</f>
        <v/>
      </c>
      <c r="N26" s="11" t="str">
        <f aca="false">IF(A26="","",IF(K26="VERBOTEN (Art. 5)","entfällt — Einsatz unzulässig",IF(K26="Hochrisiko Anhang I Abschnitt B (Sektorrecht)","Nein — Art. 50 ist nach Art. 2 Abs. 2 n. F. nicht anwendbar",IF(AND(J26&lt;&gt;"",J26&lt;&gt;"keiner"),"Ja — Art. 50 gilt zusätzlich ab 02.08.2026","Nein"))))</f>
        <v/>
      </c>
      <c r="O26" s="7"/>
      <c r="P26" s="11" t="str">
        <f aca="false">IF(K26="","",IF(LEFT(K26,10)="noch offen","Prüfung unvollständig",IF(O26="Ja","Einstufung bestätigt",IF(O26="Nein","Juristische Prüfung erforderlich","Arbeitsannahme — nicht bestätigt"))))</f>
        <v/>
      </c>
      <c r="Q26" s="10"/>
      <c r="R26" s="12"/>
      <c r="S26" s="10"/>
      <c r="T26" s="10"/>
    </row>
    <row r="27" customFormat="false" ht="25.5" hidden="false" customHeight="true" outlineLevel="0" collapsed="false">
      <c r="A27" s="7"/>
      <c r="B27" s="11" t="str">
        <f aca="false">IF(A27="","",IFERROR(INDEX('01_KI-Inventar'!$B$6:$B$65,MATCH(A27,'01_KI-Inventar'!$A$6:$A$65,0)),""))</f>
        <v/>
      </c>
      <c r="C27" s="7"/>
      <c r="D27" s="7"/>
      <c r="E27" s="7"/>
      <c r="F27" s="10"/>
      <c r="G27" s="7"/>
      <c r="H27" s="7"/>
      <c r="I27" s="7"/>
      <c r="J27" s="7"/>
      <c r="K27" s="11" t="str">
        <f aca="false">IF(A27="","",IF(OR(C27="",D27="",G27="",J27="",COUNTIF(C27:D27,"Prüfung offen")&gt;0,COUNTIF(H27:I27,"Prüfung offen")&gt;0,AND(D27="Ja",OR(E27="",E27="noch offen")),AND(G27&lt;&gt;"keiner",OR(H27="",AND(H27&lt;&gt;"Ja",I27="")))),"noch offen — Angaben unvollständig",IF(C27="Ja","VERBOTEN (Art. 5)",IF(AND(D27="Ja",E27="Abschnitt B",G27&lt;&gt;"keiner"),"Hochrisiko Anhang I Abschnitt B UND Anhang III — gesondert prüfen",IF(AND(D27="Ja",E27="Abschnitt B"),"Hochrisiko Anhang I Abschnitt B (Sektorrecht)",IF(AND(D27="Ja",G27&lt;&gt;"keiner"),"Hochrisiko Anhang I Abschnitt A und Anhang III",IF(D27="Ja","Hochrisiko Anhang I Abschnitt A",IF(G27&lt;&gt;"keiner",IF(H27="Ja","Hochrisiko Anhang III",IF(I27="Ja","Kein Hochrisiko (Art. 6 Abs. 3)","Hochrisiko Anhang III")),IF(J27&lt;&gt;"keiner","Transparenzpflicht (Art. 50)","Geringes Risiko")))))))))</f>
        <v/>
      </c>
      <c r="L27" s="11" t="str">
        <f aca="false">IF(K27="","",IF(K27="VERBOTEN (Art. 5)","02.02.2025 (NCII/CSAM: 02.12.2026)",IF(LEFT(K27,10)="noch offen","keine Frist — Einstufung zuerst abschließen",IF(K27="Hochrisiko Anhang I Abschnitt B (Sektorrecht)","Kapitel III gilt nicht. Es gelten nur Art. 6 Abs. 1, Art. 60a und Art. 102–112 (Art. 2 Abs. 2 n. F.). Frist und Pflichten folgen aus dem Sektorrecht — bei Maschinen: Anhang III VO (EU) 2023/1230, delegierter Rechtsakt ab 02.08.2028.",IF(K27="Hochrisiko Anhang I Abschnitt B UND Anhang III — gesondert prüfen","Uneinheitlich: Für den Anhang-I-Teil gilt Art. 2 Abs. 2 n. F. (nur Art. 6 Abs. 1, 60a, 102–112), für den Anhang-III-Teil der 02.12.2027. Juristisch klären.",IF(K27="Hochrisiko Anhang I Abschnitt A und Anhang III","02.12.2027 (Anhang III) / 02.08.2028 (Anhang I Abschnitt A) — Planungsannahme",IF(K27="Hochrisiko Anhang I Abschnitt A","02.08.2028 — Planungsannahme; Vorbehalt delegierter Rechtsakte nach Art. 2 Abs. 13 n. F. (bis 02.08.2027)",IF(K27="Hochrisiko Anhang III","02.12.2027 — Planungsannahme",IF(K27="Transparenzpflicht (Art. 50)","02.08.2026",IF(K27="Kein Hochrisiko (Art. 6 Abs. 3)","Registrierung nach Art. 49 Abs. 2; Bewertung VOR Inverkehrbringen dokumentieren","keine besonderen Pflichten aus den hier geprüften Kategorien — Art. 4 und übriges Recht (DSGVO, Arbeitsrecht, Urheberrecht) weiter prüfen"))))))))))</f>
        <v/>
      </c>
      <c r="M27" s="11" t="str">
        <f aca="false">IF(K27="","",IF(LEFT(K27,10)="noch offen","noch offen",IF(K27="Kein Hochrisiko (Art. 6 Abs. 3)","Ja — Art. 49 Abs. 2 (Anbieter); Bewertung VOR Inverkehrbringen dokumentieren (Art. 6 Abs. 4)",IF(K27="Hochrisiko Anhang I Abschnitt B (Sektorrecht)","Nein — Art. 49 ist nach Art. 2 Abs. 2 n. F. nicht anwendbar",IF(K27="Hochrisiko Anhang I Abschnitt A","Nein — Art. 49 Abs. 1 gilt nur für Anhang III",IF(AND(LEFT(G27,1)="2",ISNUMBER(SEARCH("Anhang III",K27))),"Nein — Registrierung auf nationaler Ebene (Art. 49 Abs. 5)",IF(ISNUMBER(SEARCH("Anhang III",K27)),"Ja — Art. 49 Abs. 1 (Anbieter); Behörden als Betreiber: Art. 49 Abs. 3","Nein")))))))</f>
        <v/>
      </c>
      <c r="N27" s="11" t="str">
        <f aca="false">IF(A27="","",IF(K27="VERBOTEN (Art. 5)","entfällt — Einsatz unzulässig",IF(K27="Hochrisiko Anhang I Abschnitt B (Sektorrecht)","Nein — Art. 50 ist nach Art. 2 Abs. 2 n. F. nicht anwendbar",IF(AND(J27&lt;&gt;"",J27&lt;&gt;"keiner"),"Ja — Art. 50 gilt zusätzlich ab 02.08.2026","Nein"))))</f>
        <v/>
      </c>
      <c r="O27" s="7"/>
      <c r="P27" s="11" t="str">
        <f aca="false">IF(K27="","",IF(LEFT(K27,10)="noch offen","Prüfung unvollständig",IF(O27="Ja","Einstufung bestätigt",IF(O27="Nein","Juristische Prüfung erforderlich","Arbeitsannahme — nicht bestätigt"))))</f>
        <v/>
      </c>
      <c r="Q27" s="10"/>
      <c r="R27" s="12"/>
      <c r="S27" s="10"/>
      <c r="T27" s="10"/>
    </row>
    <row r="28" customFormat="false" ht="25.5" hidden="false" customHeight="true" outlineLevel="0" collapsed="false">
      <c r="A28" s="7"/>
      <c r="B28" s="11" t="str">
        <f aca="false">IF(A28="","",IFERROR(INDEX('01_KI-Inventar'!$B$6:$B$65,MATCH(A28,'01_KI-Inventar'!$A$6:$A$65,0)),""))</f>
        <v/>
      </c>
      <c r="C28" s="7"/>
      <c r="D28" s="7"/>
      <c r="E28" s="7"/>
      <c r="F28" s="10"/>
      <c r="G28" s="7"/>
      <c r="H28" s="7"/>
      <c r="I28" s="7"/>
      <c r="J28" s="7"/>
      <c r="K28" s="11" t="str">
        <f aca="false">IF(A28="","",IF(OR(C28="",D28="",G28="",J28="",COUNTIF(C28:D28,"Prüfung offen")&gt;0,COUNTIF(H28:I28,"Prüfung offen")&gt;0,AND(D28="Ja",OR(E28="",E28="noch offen")),AND(G28&lt;&gt;"keiner",OR(H28="",AND(H28&lt;&gt;"Ja",I28="")))),"noch offen — Angaben unvollständig",IF(C28="Ja","VERBOTEN (Art. 5)",IF(AND(D28="Ja",E28="Abschnitt B",G28&lt;&gt;"keiner"),"Hochrisiko Anhang I Abschnitt B UND Anhang III — gesondert prüfen",IF(AND(D28="Ja",E28="Abschnitt B"),"Hochrisiko Anhang I Abschnitt B (Sektorrecht)",IF(AND(D28="Ja",G28&lt;&gt;"keiner"),"Hochrisiko Anhang I Abschnitt A und Anhang III",IF(D28="Ja","Hochrisiko Anhang I Abschnitt A",IF(G28&lt;&gt;"keiner",IF(H28="Ja","Hochrisiko Anhang III",IF(I28="Ja","Kein Hochrisiko (Art. 6 Abs. 3)","Hochrisiko Anhang III")),IF(J28&lt;&gt;"keiner","Transparenzpflicht (Art. 50)","Geringes Risiko")))))))))</f>
        <v/>
      </c>
      <c r="L28" s="11" t="str">
        <f aca="false">IF(K28="","",IF(K28="VERBOTEN (Art. 5)","02.02.2025 (NCII/CSAM: 02.12.2026)",IF(LEFT(K28,10)="noch offen","keine Frist — Einstufung zuerst abschließen",IF(K28="Hochrisiko Anhang I Abschnitt B (Sektorrecht)","Kapitel III gilt nicht. Es gelten nur Art. 6 Abs. 1, Art. 60a und Art. 102–112 (Art. 2 Abs. 2 n. F.). Frist und Pflichten folgen aus dem Sektorrecht — bei Maschinen: Anhang III VO (EU) 2023/1230, delegierter Rechtsakt ab 02.08.2028.",IF(K28="Hochrisiko Anhang I Abschnitt B UND Anhang III — gesondert prüfen","Uneinheitlich: Für den Anhang-I-Teil gilt Art. 2 Abs. 2 n. F. (nur Art. 6 Abs. 1, 60a, 102–112), für den Anhang-III-Teil der 02.12.2027. Juristisch klären.",IF(K28="Hochrisiko Anhang I Abschnitt A und Anhang III","02.12.2027 (Anhang III) / 02.08.2028 (Anhang I Abschnitt A) — Planungsannahme",IF(K28="Hochrisiko Anhang I Abschnitt A","02.08.2028 — Planungsannahme; Vorbehalt delegierter Rechtsakte nach Art. 2 Abs. 13 n. F. (bis 02.08.2027)",IF(K28="Hochrisiko Anhang III","02.12.2027 — Planungsannahme",IF(K28="Transparenzpflicht (Art. 50)","02.08.2026",IF(K28="Kein Hochrisiko (Art. 6 Abs. 3)","Registrierung nach Art. 49 Abs. 2; Bewertung VOR Inverkehrbringen dokumentieren","keine besonderen Pflichten aus den hier geprüften Kategorien — Art. 4 und übriges Recht (DSGVO, Arbeitsrecht, Urheberrecht) weiter prüfen"))))))))))</f>
        <v/>
      </c>
      <c r="M28" s="11" t="str">
        <f aca="false">IF(K28="","",IF(LEFT(K28,10)="noch offen","noch offen",IF(K28="Kein Hochrisiko (Art. 6 Abs. 3)","Ja — Art. 49 Abs. 2 (Anbieter); Bewertung VOR Inverkehrbringen dokumentieren (Art. 6 Abs. 4)",IF(K28="Hochrisiko Anhang I Abschnitt B (Sektorrecht)","Nein — Art. 49 ist nach Art. 2 Abs. 2 n. F. nicht anwendbar",IF(K28="Hochrisiko Anhang I Abschnitt A","Nein — Art. 49 Abs. 1 gilt nur für Anhang III",IF(AND(LEFT(G28,1)="2",ISNUMBER(SEARCH("Anhang III",K28))),"Nein — Registrierung auf nationaler Ebene (Art. 49 Abs. 5)",IF(ISNUMBER(SEARCH("Anhang III",K28)),"Ja — Art. 49 Abs. 1 (Anbieter); Behörden als Betreiber: Art. 49 Abs. 3","Nein")))))))</f>
        <v/>
      </c>
      <c r="N28" s="11" t="str">
        <f aca="false">IF(A28="","",IF(K28="VERBOTEN (Art. 5)","entfällt — Einsatz unzulässig",IF(K28="Hochrisiko Anhang I Abschnitt B (Sektorrecht)","Nein — Art. 50 ist nach Art. 2 Abs. 2 n. F. nicht anwendbar",IF(AND(J28&lt;&gt;"",J28&lt;&gt;"keiner"),"Ja — Art. 50 gilt zusätzlich ab 02.08.2026","Nein"))))</f>
        <v/>
      </c>
      <c r="O28" s="7"/>
      <c r="P28" s="11" t="str">
        <f aca="false">IF(K28="","",IF(LEFT(K28,10)="noch offen","Prüfung unvollständig",IF(O28="Ja","Einstufung bestätigt",IF(O28="Nein","Juristische Prüfung erforderlich","Arbeitsannahme — nicht bestätigt"))))</f>
        <v/>
      </c>
      <c r="Q28" s="10"/>
      <c r="R28" s="12"/>
      <c r="S28" s="10"/>
      <c r="T28" s="10"/>
    </row>
    <row r="29" customFormat="false" ht="25.5" hidden="false" customHeight="true" outlineLevel="0" collapsed="false">
      <c r="A29" s="7"/>
      <c r="B29" s="11" t="str">
        <f aca="false">IF(A29="","",IFERROR(INDEX('01_KI-Inventar'!$B$6:$B$65,MATCH(A29,'01_KI-Inventar'!$A$6:$A$65,0)),""))</f>
        <v/>
      </c>
      <c r="C29" s="7"/>
      <c r="D29" s="7"/>
      <c r="E29" s="7"/>
      <c r="F29" s="10"/>
      <c r="G29" s="7"/>
      <c r="H29" s="7"/>
      <c r="I29" s="7"/>
      <c r="J29" s="7"/>
      <c r="K29" s="11" t="str">
        <f aca="false">IF(A29="","",IF(OR(C29="",D29="",G29="",J29="",COUNTIF(C29:D29,"Prüfung offen")&gt;0,COUNTIF(H29:I29,"Prüfung offen")&gt;0,AND(D29="Ja",OR(E29="",E29="noch offen")),AND(G29&lt;&gt;"keiner",OR(H29="",AND(H29&lt;&gt;"Ja",I29="")))),"noch offen — Angaben unvollständig",IF(C29="Ja","VERBOTEN (Art. 5)",IF(AND(D29="Ja",E29="Abschnitt B",G29&lt;&gt;"keiner"),"Hochrisiko Anhang I Abschnitt B UND Anhang III — gesondert prüfen",IF(AND(D29="Ja",E29="Abschnitt B"),"Hochrisiko Anhang I Abschnitt B (Sektorrecht)",IF(AND(D29="Ja",G29&lt;&gt;"keiner"),"Hochrisiko Anhang I Abschnitt A und Anhang III",IF(D29="Ja","Hochrisiko Anhang I Abschnitt A",IF(G29&lt;&gt;"keiner",IF(H29="Ja","Hochrisiko Anhang III",IF(I29="Ja","Kein Hochrisiko (Art. 6 Abs. 3)","Hochrisiko Anhang III")),IF(J29&lt;&gt;"keiner","Transparenzpflicht (Art. 50)","Geringes Risiko")))))))))</f>
        <v/>
      </c>
      <c r="L29" s="11" t="str">
        <f aca="false">IF(K29="","",IF(K29="VERBOTEN (Art. 5)","02.02.2025 (NCII/CSAM: 02.12.2026)",IF(LEFT(K29,10)="noch offen","keine Frist — Einstufung zuerst abschließen",IF(K29="Hochrisiko Anhang I Abschnitt B (Sektorrecht)","Kapitel III gilt nicht. Es gelten nur Art. 6 Abs. 1, Art. 60a und Art. 102–112 (Art. 2 Abs. 2 n. F.). Frist und Pflichten folgen aus dem Sektorrecht — bei Maschinen: Anhang III VO (EU) 2023/1230, delegierter Rechtsakt ab 02.08.2028.",IF(K29="Hochrisiko Anhang I Abschnitt B UND Anhang III — gesondert prüfen","Uneinheitlich: Für den Anhang-I-Teil gilt Art. 2 Abs. 2 n. F. (nur Art. 6 Abs. 1, 60a, 102–112), für den Anhang-III-Teil der 02.12.2027. Juristisch klären.",IF(K29="Hochrisiko Anhang I Abschnitt A und Anhang III","02.12.2027 (Anhang III) / 02.08.2028 (Anhang I Abschnitt A) — Planungsannahme",IF(K29="Hochrisiko Anhang I Abschnitt A","02.08.2028 — Planungsannahme; Vorbehalt delegierter Rechtsakte nach Art. 2 Abs. 13 n. F. (bis 02.08.2027)",IF(K29="Hochrisiko Anhang III","02.12.2027 — Planungsannahme",IF(K29="Transparenzpflicht (Art. 50)","02.08.2026",IF(K29="Kein Hochrisiko (Art. 6 Abs. 3)","Registrierung nach Art. 49 Abs. 2; Bewertung VOR Inverkehrbringen dokumentieren","keine besonderen Pflichten aus den hier geprüften Kategorien — Art. 4 und übriges Recht (DSGVO, Arbeitsrecht, Urheberrecht) weiter prüfen"))))))))))</f>
        <v/>
      </c>
      <c r="M29" s="11" t="str">
        <f aca="false">IF(K29="","",IF(LEFT(K29,10)="noch offen","noch offen",IF(K29="Kein Hochrisiko (Art. 6 Abs. 3)","Ja — Art. 49 Abs. 2 (Anbieter); Bewertung VOR Inverkehrbringen dokumentieren (Art. 6 Abs. 4)",IF(K29="Hochrisiko Anhang I Abschnitt B (Sektorrecht)","Nein — Art. 49 ist nach Art. 2 Abs. 2 n. F. nicht anwendbar",IF(K29="Hochrisiko Anhang I Abschnitt A","Nein — Art. 49 Abs. 1 gilt nur für Anhang III",IF(AND(LEFT(G29,1)="2",ISNUMBER(SEARCH("Anhang III",K29))),"Nein — Registrierung auf nationaler Ebene (Art. 49 Abs. 5)",IF(ISNUMBER(SEARCH("Anhang III",K29)),"Ja — Art. 49 Abs. 1 (Anbieter); Behörden als Betreiber: Art. 49 Abs. 3","Nein")))))))</f>
        <v/>
      </c>
      <c r="N29" s="11" t="str">
        <f aca="false">IF(A29="","",IF(K29="VERBOTEN (Art. 5)","entfällt — Einsatz unzulässig",IF(K29="Hochrisiko Anhang I Abschnitt B (Sektorrecht)","Nein — Art. 50 ist nach Art. 2 Abs. 2 n. F. nicht anwendbar",IF(AND(J29&lt;&gt;"",J29&lt;&gt;"keiner"),"Ja — Art. 50 gilt zusätzlich ab 02.08.2026","Nein"))))</f>
        <v/>
      </c>
      <c r="O29" s="7"/>
      <c r="P29" s="11" t="str">
        <f aca="false">IF(K29="","",IF(LEFT(K29,10)="noch offen","Prüfung unvollständig",IF(O29="Ja","Einstufung bestätigt",IF(O29="Nein","Juristische Prüfung erforderlich","Arbeitsannahme — nicht bestätigt"))))</f>
        <v/>
      </c>
      <c r="Q29" s="10"/>
      <c r="R29" s="12"/>
      <c r="S29" s="10"/>
      <c r="T29" s="10"/>
    </row>
    <row r="30" customFormat="false" ht="25.5" hidden="false" customHeight="true" outlineLevel="0" collapsed="false">
      <c r="A30" s="7"/>
      <c r="B30" s="11" t="str">
        <f aca="false">IF(A30="","",IFERROR(INDEX('01_KI-Inventar'!$B$6:$B$65,MATCH(A30,'01_KI-Inventar'!$A$6:$A$65,0)),""))</f>
        <v/>
      </c>
      <c r="C30" s="7"/>
      <c r="D30" s="7"/>
      <c r="E30" s="7"/>
      <c r="F30" s="10"/>
      <c r="G30" s="7"/>
      <c r="H30" s="7"/>
      <c r="I30" s="7"/>
      <c r="J30" s="7"/>
      <c r="K30" s="11" t="str">
        <f aca="false">IF(A30="","",IF(OR(C30="",D30="",G30="",J30="",COUNTIF(C30:D30,"Prüfung offen")&gt;0,COUNTIF(H30:I30,"Prüfung offen")&gt;0,AND(D30="Ja",OR(E30="",E30="noch offen")),AND(G30&lt;&gt;"keiner",OR(H30="",AND(H30&lt;&gt;"Ja",I30="")))),"noch offen — Angaben unvollständig",IF(C30="Ja","VERBOTEN (Art. 5)",IF(AND(D30="Ja",E30="Abschnitt B",G30&lt;&gt;"keiner"),"Hochrisiko Anhang I Abschnitt B UND Anhang III — gesondert prüfen",IF(AND(D30="Ja",E30="Abschnitt B"),"Hochrisiko Anhang I Abschnitt B (Sektorrecht)",IF(AND(D30="Ja",G30&lt;&gt;"keiner"),"Hochrisiko Anhang I Abschnitt A und Anhang III",IF(D30="Ja","Hochrisiko Anhang I Abschnitt A",IF(G30&lt;&gt;"keiner",IF(H30="Ja","Hochrisiko Anhang III",IF(I30="Ja","Kein Hochrisiko (Art. 6 Abs. 3)","Hochrisiko Anhang III")),IF(J30&lt;&gt;"keiner","Transparenzpflicht (Art. 50)","Geringes Risiko")))))))))</f>
        <v/>
      </c>
      <c r="L30" s="11" t="str">
        <f aca="false">IF(K30="","",IF(K30="VERBOTEN (Art. 5)","02.02.2025 (NCII/CSAM: 02.12.2026)",IF(LEFT(K30,10)="noch offen","keine Frist — Einstufung zuerst abschließen",IF(K30="Hochrisiko Anhang I Abschnitt B (Sektorrecht)","Kapitel III gilt nicht. Es gelten nur Art. 6 Abs. 1, Art. 60a und Art. 102–112 (Art. 2 Abs. 2 n. F.). Frist und Pflichten folgen aus dem Sektorrecht — bei Maschinen: Anhang III VO (EU) 2023/1230, delegierter Rechtsakt ab 02.08.2028.",IF(K30="Hochrisiko Anhang I Abschnitt B UND Anhang III — gesondert prüfen","Uneinheitlich: Für den Anhang-I-Teil gilt Art. 2 Abs. 2 n. F. (nur Art. 6 Abs. 1, 60a, 102–112), für den Anhang-III-Teil der 02.12.2027. Juristisch klären.",IF(K30="Hochrisiko Anhang I Abschnitt A und Anhang III","02.12.2027 (Anhang III) / 02.08.2028 (Anhang I Abschnitt A) — Planungsannahme",IF(K30="Hochrisiko Anhang I Abschnitt A","02.08.2028 — Planungsannahme; Vorbehalt delegierter Rechtsakte nach Art. 2 Abs. 13 n. F. (bis 02.08.2027)",IF(K30="Hochrisiko Anhang III","02.12.2027 — Planungsannahme",IF(K30="Transparenzpflicht (Art. 50)","02.08.2026",IF(K30="Kein Hochrisiko (Art. 6 Abs. 3)","Registrierung nach Art. 49 Abs. 2; Bewertung VOR Inverkehrbringen dokumentieren","keine besonderen Pflichten aus den hier geprüften Kategorien — Art. 4 und übriges Recht (DSGVO, Arbeitsrecht, Urheberrecht) weiter prüfen"))))))))))</f>
        <v/>
      </c>
      <c r="M30" s="11" t="str">
        <f aca="false">IF(K30="","",IF(LEFT(K30,10)="noch offen","noch offen",IF(K30="Kein Hochrisiko (Art. 6 Abs. 3)","Ja — Art. 49 Abs. 2 (Anbieter); Bewertung VOR Inverkehrbringen dokumentieren (Art. 6 Abs. 4)",IF(K30="Hochrisiko Anhang I Abschnitt B (Sektorrecht)","Nein — Art. 49 ist nach Art. 2 Abs. 2 n. F. nicht anwendbar",IF(K30="Hochrisiko Anhang I Abschnitt A","Nein — Art. 49 Abs. 1 gilt nur für Anhang III",IF(AND(LEFT(G30,1)="2",ISNUMBER(SEARCH("Anhang III",K30))),"Nein — Registrierung auf nationaler Ebene (Art. 49 Abs. 5)",IF(ISNUMBER(SEARCH("Anhang III",K30)),"Ja — Art. 49 Abs. 1 (Anbieter); Behörden als Betreiber: Art. 49 Abs. 3","Nein")))))))</f>
        <v/>
      </c>
      <c r="N30" s="11" t="str">
        <f aca="false">IF(A30="","",IF(K30="VERBOTEN (Art. 5)","entfällt — Einsatz unzulässig",IF(K30="Hochrisiko Anhang I Abschnitt B (Sektorrecht)","Nein — Art. 50 ist nach Art. 2 Abs. 2 n. F. nicht anwendbar",IF(AND(J30&lt;&gt;"",J30&lt;&gt;"keiner"),"Ja — Art. 50 gilt zusätzlich ab 02.08.2026","Nein"))))</f>
        <v/>
      </c>
      <c r="O30" s="7"/>
      <c r="P30" s="11" t="str">
        <f aca="false">IF(K30="","",IF(LEFT(K30,10)="noch offen","Prüfung unvollständig",IF(O30="Ja","Einstufung bestätigt",IF(O30="Nein","Juristische Prüfung erforderlich","Arbeitsannahme — nicht bestätigt"))))</f>
        <v/>
      </c>
      <c r="Q30" s="10"/>
      <c r="R30" s="12"/>
      <c r="S30" s="10"/>
      <c r="T30" s="10"/>
    </row>
    <row r="31" customFormat="false" ht="25.5" hidden="false" customHeight="true" outlineLevel="0" collapsed="false">
      <c r="A31" s="7"/>
      <c r="B31" s="11" t="str">
        <f aca="false">IF(A31="","",IFERROR(INDEX('01_KI-Inventar'!$B$6:$B$65,MATCH(A31,'01_KI-Inventar'!$A$6:$A$65,0)),""))</f>
        <v/>
      </c>
      <c r="C31" s="7"/>
      <c r="D31" s="7"/>
      <c r="E31" s="7"/>
      <c r="F31" s="10"/>
      <c r="G31" s="7"/>
      <c r="H31" s="7"/>
      <c r="I31" s="7"/>
      <c r="J31" s="7"/>
      <c r="K31" s="11" t="str">
        <f aca="false">IF(A31="","",IF(OR(C31="",D31="",G31="",J31="",COUNTIF(C31:D31,"Prüfung offen")&gt;0,COUNTIF(H31:I31,"Prüfung offen")&gt;0,AND(D31="Ja",OR(E31="",E31="noch offen")),AND(G31&lt;&gt;"keiner",OR(H31="",AND(H31&lt;&gt;"Ja",I31="")))),"noch offen — Angaben unvollständig",IF(C31="Ja","VERBOTEN (Art. 5)",IF(AND(D31="Ja",E31="Abschnitt B",G31&lt;&gt;"keiner"),"Hochrisiko Anhang I Abschnitt B UND Anhang III — gesondert prüfen",IF(AND(D31="Ja",E31="Abschnitt B"),"Hochrisiko Anhang I Abschnitt B (Sektorrecht)",IF(AND(D31="Ja",G31&lt;&gt;"keiner"),"Hochrisiko Anhang I Abschnitt A und Anhang III",IF(D31="Ja","Hochrisiko Anhang I Abschnitt A",IF(G31&lt;&gt;"keiner",IF(H31="Ja","Hochrisiko Anhang III",IF(I31="Ja","Kein Hochrisiko (Art. 6 Abs. 3)","Hochrisiko Anhang III")),IF(J31&lt;&gt;"keiner","Transparenzpflicht (Art. 50)","Geringes Risiko")))))))))</f>
        <v/>
      </c>
      <c r="L31" s="11" t="str">
        <f aca="false">IF(K31="","",IF(K31="VERBOTEN (Art. 5)","02.02.2025 (NCII/CSAM: 02.12.2026)",IF(LEFT(K31,10)="noch offen","keine Frist — Einstufung zuerst abschließen",IF(K31="Hochrisiko Anhang I Abschnitt B (Sektorrecht)","Kapitel III gilt nicht. Es gelten nur Art. 6 Abs. 1, Art. 60a und Art. 102–112 (Art. 2 Abs. 2 n. F.). Frist und Pflichten folgen aus dem Sektorrecht — bei Maschinen: Anhang III VO (EU) 2023/1230, delegierter Rechtsakt ab 02.08.2028.",IF(K31="Hochrisiko Anhang I Abschnitt B UND Anhang III — gesondert prüfen","Uneinheitlich: Für den Anhang-I-Teil gilt Art. 2 Abs. 2 n. F. (nur Art. 6 Abs. 1, 60a, 102–112), für den Anhang-III-Teil der 02.12.2027. Juristisch klären.",IF(K31="Hochrisiko Anhang I Abschnitt A und Anhang III","02.12.2027 (Anhang III) / 02.08.2028 (Anhang I Abschnitt A) — Planungsannahme",IF(K31="Hochrisiko Anhang I Abschnitt A","02.08.2028 — Planungsannahme; Vorbehalt delegierter Rechtsakte nach Art. 2 Abs. 13 n. F. (bis 02.08.2027)",IF(K31="Hochrisiko Anhang III","02.12.2027 — Planungsannahme",IF(K31="Transparenzpflicht (Art. 50)","02.08.2026",IF(K31="Kein Hochrisiko (Art. 6 Abs. 3)","Registrierung nach Art. 49 Abs. 2; Bewertung VOR Inverkehrbringen dokumentieren","keine besonderen Pflichten aus den hier geprüften Kategorien — Art. 4 und übriges Recht (DSGVO, Arbeitsrecht, Urheberrecht) weiter prüfen"))))))))))</f>
        <v/>
      </c>
      <c r="M31" s="11" t="str">
        <f aca="false">IF(K31="","",IF(LEFT(K31,10)="noch offen","noch offen",IF(K31="Kein Hochrisiko (Art. 6 Abs. 3)","Ja — Art. 49 Abs. 2 (Anbieter); Bewertung VOR Inverkehrbringen dokumentieren (Art. 6 Abs. 4)",IF(K31="Hochrisiko Anhang I Abschnitt B (Sektorrecht)","Nein — Art. 49 ist nach Art. 2 Abs. 2 n. F. nicht anwendbar",IF(K31="Hochrisiko Anhang I Abschnitt A","Nein — Art. 49 Abs. 1 gilt nur für Anhang III",IF(AND(LEFT(G31,1)="2",ISNUMBER(SEARCH("Anhang III",K31))),"Nein — Registrierung auf nationaler Ebene (Art. 49 Abs. 5)",IF(ISNUMBER(SEARCH("Anhang III",K31)),"Ja — Art. 49 Abs. 1 (Anbieter); Behörden als Betreiber: Art. 49 Abs. 3","Nein")))))))</f>
        <v/>
      </c>
      <c r="N31" s="11" t="str">
        <f aca="false">IF(A31="","",IF(K31="VERBOTEN (Art. 5)","entfällt — Einsatz unzulässig",IF(K31="Hochrisiko Anhang I Abschnitt B (Sektorrecht)","Nein — Art. 50 ist nach Art. 2 Abs. 2 n. F. nicht anwendbar",IF(AND(J31&lt;&gt;"",J31&lt;&gt;"keiner"),"Ja — Art. 50 gilt zusätzlich ab 02.08.2026","Nein"))))</f>
        <v/>
      </c>
      <c r="O31" s="7"/>
      <c r="P31" s="11" t="str">
        <f aca="false">IF(K31="","",IF(LEFT(K31,10)="noch offen","Prüfung unvollständig",IF(O31="Ja","Einstufung bestätigt",IF(O31="Nein","Juristische Prüfung erforderlich","Arbeitsannahme — nicht bestätigt"))))</f>
        <v/>
      </c>
      <c r="Q31" s="10"/>
      <c r="R31" s="12"/>
      <c r="S31" s="10"/>
      <c r="T31" s="10"/>
    </row>
    <row r="32" customFormat="false" ht="25.5" hidden="false" customHeight="true" outlineLevel="0" collapsed="false">
      <c r="A32" s="7"/>
      <c r="B32" s="11" t="str">
        <f aca="false">IF(A32="","",IFERROR(INDEX('01_KI-Inventar'!$B$6:$B$65,MATCH(A32,'01_KI-Inventar'!$A$6:$A$65,0)),""))</f>
        <v/>
      </c>
      <c r="C32" s="7"/>
      <c r="D32" s="7"/>
      <c r="E32" s="7"/>
      <c r="F32" s="10"/>
      <c r="G32" s="7"/>
      <c r="H32" s="7"/>
      <c r="I32" s="7"/>
      <c r="J32" s="7"/>
      <c r="K32" s="11" t="str">
        <f aca="false">IF(A32="","",IF(OR(C32="",D32="",G32="",J32="",COUNTIF(C32:D32,"Prüfung offen")&gt;0,COUNTIF(H32:I32,"Prüfung offen")&gt;0,AND(D32="Ja",OR(E32="",E32="noch offen")),AND(G32&lt;&gt;"keiner",OR(H32="",AND(H32&lt;&gt;"Ja",I32="")))),"noch offen — Angaben unvollständig",IF(C32="Ja","VERBOTEN (Art. 5)",IF(AND(D32="Ja",E32="Abschnitt B",G32&lt;&gt;"keiner"),"Hochrisiko Anhang I Abschnitt B UND Anhang III — gesondert prüfen",IF(AND(D32="Ja",E32="Abschnitt B"),"Hochrisiko Anhang I Abschnitt B (Sektorrecht)",IF(AND(D32="Ja",G32&lt;&gt;"keiner"),"Hochrisiko Anhang I Abschnitt A und Anhang III",IF(D32="Ja","Hochrisiko Anhang I Abschnitt A",IF(G32&lt;&gt;"keiner",IF(H32="Ja","Hochrisiko Anhang III",IF(I32="Ja","Kein Hochrisiko (Art. 6 Abs. 3)","Hochrisiko Anhang III")),IF(J32&lt;&gt;"keiner","Transparenzpflicht (Art. 50)","Geringes Risiko")))))))))</f>
        <v/>
      </c>
      <c r="L32" s="11" t="str">
        <f aca="false">IF(K32="","",IF(K32="VERBOTEN (Art. 5)","02.02.2025 (NCII/CSAM: 02.12.2026)",IF(LEFT(K32,10)="noch offen","keine Frist — Einstufung zuerst abschließen",IF(K32="Hochrisiko Anhang I Abschnitt B (Sektorrecht)","Kapitel III gilt nicht. Es gelten nur Art. 6 Abs. 1, Art. 60a und Art. 102–112 (Art. 2 Abs. 2 n. F.). Frist und Pflichten folgen aus dem Sektorrecht — bei Maschinen: Anhang III VO (EU) 2023/1230, delegierter Rechtsakt ab 02.08.2028.",IF(K32="Hochrisiko Anhang I Abschnitt B UND Anhang III — gesondert prüfen","Uneinheitlich: Für den Anhang-I-Teil gilt Art. 2 Abs. 2 n. F. (nur Art. 6 Abs. 1, 60a, 102–112), für den Anhang-III-Teil der 02.12.2027. Juristisch klären.",IF(K32="Hochrisiko Anhang I Abschnitt A und Anhang III","02.12.2027 (Anhang III) / 02.08.2028 (Anhang I Abschnitt A) — Planungsannahme",IF(K32="Hochrisiko Anhang I Abschnitt A","02.08.2028 — Planungsannahme; Vorbehalt delegierter Rechtsakte nach Art. 2 Abs. 13 n. F. (bis 02.08.2027)",IF(K32="Hochrisiko Anhang III","02.12.2027 — Planungsannahme",IF(K32="Transparenzpflicht (Art. 50)","02.08.2026",IF(K32="Kein Hochrisiko (Art. 6 Abs. 3)","Registrierung nach Art. 49 Abs. 2; Bewertung VOR Inverkehrbringen dokumentieren","keine besonderen Pflichten aus den hier geprüften Kategorien — Art. 4 und übriges Recht (DSGVO, Arbeitsrecht, Urheberrecht) weiter prüfen"))))))))))</f>
        <v/>
      </c>
      <c r="M32" s="11" t="str">
        <f aca="false">IF(K32="","",IF(LEFT(K32,10)="noch offen","noch offen",IF(K32="Kein Hochrisiko (Art. 6 Abs. 3)","Ja — Art. 49 Abs. 2 (Anbieter); Bewertung VOR Inverkehrbringen dokumentieren (Art. 6 Abs. 4)",IF(K32="Hochrisiko Anhang I Abschnitt B (Sektorrecht)","Nein — Art. 49 ist nach Art. 2 Abs. 2 n. F. nicht anwendbar",IF(K32="Hochrisiko Anhang I Abschnitt A","Nein — Art. 49 Abs. 1 gilt nur für Anhang III",IF(AND(LEFT(G32,1)="2",ISNUMBER(SEARCH("Anhang III",K32))),"Nein — Registrierung auf nationaler Ebene (Art. 49 Abs. 5)",IF(ISNUMBER(SEARCH("Anhang III",K32)),"Ja — Art. 49 Abs. 1 (Anbieter); Behörden als Betreiber: Art. 49 Abs. 3","Nein")))))))</f>
        <v/>
      </c>
      <c r="N32" s="11" t="str">
        <f aca="false">IF(A32="","",IF(K32="VERBOTEN (Art. 5)","entfällt — Einsatz unzulässig",IF(K32="Hochrisiko Anhang I Abschnitt B (Sektorrecht)","Nein — Art. 50 ist nach Art. 2 Abs. 2 n. F. nicht anwendbar",IF(AND(J32&lt;&gt;"",J32&lt;&gt;"keiner"),"Ja — Art. 50 gilt zusätzlich ab 02.08.2026","Nein"))))</f>
        <v/>
      </c>
      <c r="O32" s="7"/>
      <c r="P32" s="11" t="str">
        <f aca="false">IF(K32="","",IF(LEFT(K32,10)="noch offen","Prüfung unvollständig",IF(O32="Ja","Einstufung bestätigt",IF(O32="Nein","Juristische Prüfung erforderlich","Arbeitsannahme — nicht bestätigt"))))</f>
        <v/>
      </c>
      <c r="Q32" s="10"/>
      <c r="R32" s="12"/>
      <c r="S32" s="10"/>
      <c r="T32" s="10"/>
    </row>
    <row r="33" customFormat="false" ht="25.5" hidden="false" customHeight="true" outlineLevel="0" collapsed="false">
      <c r="A33" s="7"/>
      <c r="B33" s="11" t="str">
        <f aca="false">IF(A33="","",IFERROR(INDEX('01_KI-Inventar'!$B$6:$B$65,MATCH(A33,'01_KI-Inventar'!$A$6:$A$65,0)),""))</f>
        <v/>
      </c>
      <c r="C33" s="7"/>
      <c r="D33" s="7"/>
      <c r="E33" s="7"/>
      <c r="F33" s="10"/>
      <c r="G33" s="7"/>
      <c r="H33" s="7"/>
      <c r="I33" s="7"/>
      <c r="J33" s="7"/>
      <c r="K33" s="11" t="str">
        <f aca="false">IF(A33="","",IF(OR(C33="",D33="",G33="",J33="",COUNTIF(C33:D33,"Prüfung offen")&gt;0,COUNTIF(H33:I33,"Prüfung offen")&gt;0,AND(D33="Ja",OR(E33="",E33="noch offen")),AND(G33&lt;&gt;"keiner",OR(H33="",AND(H33&lt;&gt;"Ja",I33="")))),"noch offen — Angaben unvollständig",IF(C33="Ja","VERBOTEN (Art. 5)",IF(AND(D33="Ja",E33="Abschnitt B",G33&lt;&gt;"keiner"),"Hochrisiko Anhang I Abschnitt B UND Anhang III — gesondert prüfen",IF(AND(D33="Ja",E33="Abschnitt B"),"Hochrisiko Anhang I Abschnitt B (Sektorrecht)",IF(AND(D33="Ja",G33&lt;&gt;"keiner"),"Hochrisiko Anhang I Abschnitt A und Anhang III",IF(D33="Ja","Hochrisiko Anhang I Abschnitt A",IF(G33&lt;&gt;"keiner",IF(H33="Ja","Hochrisiko Anhang III",IF(I33="Ja","Kein Hochrisiko (Art. 6 Abs. 3)","Hochrisiko Anhang III")),IF(J33&lt;&gt;"keiner","Transparenzpflicht (Art. 50)","Geringes Risiko")))))))))</f>
        <v/>
      </c>
      <c r="L33" s="11" t="str">
        <f aca="false">IF(K33="","",IF(K33="VERBOTEN (Art. 5)","02.02.2025 (NCII/CSAM: 02.12.2026)",IF(LEFT(K33,10)="noch offen","keine Frist — Einstufung zuerst abschließen",IF(K33="Hochrisiko Anhang I Abschnitt B (Sektorrecht)","Kapitel III gilt nicht. Es gelten nur Art. 6 Abs. 1, Art. 60a und Art. 102–112 (Art. 2 Abs. 2 n. F.). Frist und Pflichten folgen aus dem Sektorrecht — bei Maschinen: Anhang III VO (EU) 2023/1230, delegierter Rechtsakt ab 02.08.2028.",IF(K33="Hochrisiko Anhang I Abschnitt B UND Anhang III — gesondert prüfen","Uneinheitlich: Für den Anhang-I-Teil gilt Art. 2 Abs. 2 n. F. (nur Art. 6 Abs. 1, 60a, 102–112), für den Anhang-III-Teil der 02.12.2027. Juristisch klären.",IF(K33="Hochrisiko Anhang I Abschnitt A und Anhang III","02.12.2027 (Anhang III) / 02.08.2028 (Anhang I Abschnitt A) — Planungsannahme",IF(K33="Hochrisiko Anhang I Abschnitt A","02.08.2028 — Planungsannahme; Vorbehalt delegierter Rechtsakte nach Art. 2 Abs. 13 n. F. (bis 02.08.2027)",IF(K33="Hochrisiko Anhang III","02.12.2027 — Planungsannahme",IF(K33="Transparenzpflicht (Art. 50)","02.08.2026",IF(K33="Kein Hochrisiko (Art. 6 Abs. 3)","Registrierung nach Art. 49 Abs. 2; Bewertung VOR Inverkehrbringen dokumentieren","keine besonderen Pflichten aus den hier geprüften Kategorien — Art. 4 und übriges Recht (DSGVO, Arbeitsrecht, Urheberrecht) weiter prüfen"))))))))))</f>
        <v/>
      </c>
      <c r="M33" s="11" t="str">
        <f aca="false">IF(K33="","",IF(LEFT(K33,10)="noch offen","noch offen",IF(K33="Kein Hochrisiko (Art. 6 Abs. 3)","Ja — Art. 49 Abs. 2 (Anbieter); Bewertung VOR Inverkehrbringen dokumentieren (Art. 6 Abs. 4)",IF(K33="Hochrisiko Anhang I Abschnitt B (Sektorrecht)","Nein — Art. 49 ist nach Art. 2 Abs. 2 n. F. nicht anwendbar",IF(K33="Hochrisiko Anhang I Abschnitt A","Nein — Art. 49 Abs. 1 gilt nur für Anhang III",IF(AND(LEFT(G33,1)="2",ISNUMBER(SEARCH("Anhang III",K33))),"Nein — Registrierung auf nationaler Ebene (Art. 49 Abs. 5)",IF(ISNUMBER(SEARCH("Anhang III",K33)),"Ja — Art. 49 Abs. 1 (Anbieter); Behörden als Betreiber: Art. 49 Abs. 3","Nein")))))))</f>
        <v/>
      </c>
      <c r="N33" s="11" t="str">
        <f aca="false">IF(A33="","",IF(K33="VERBOTEN (Art. 5)","entfällt — Einsatz unzulässig",IF(K33="Hochrisiko Anhang I Abschnitt B (Sektorrecht)","Nein — Art. 50 ist nach Art. 2 Abs. 2 n. F. nicht anwendbar",IF(AND(J33&lt;&gt;"",J33&lt;&gt;"keiner"),"Ja — Art. 50 gilt zusätzlich ab 02.08.2026","Nein"))))</f>
        <v/>
      </c>
      <c r="O33" s="7"/>
      <c r="P33" s="11" t="str">
        <f aca="false">IF(K33="","",IF(LEFT(K33,10)="noch offen","Prüfung unvollständig",IF(O33="Ja","Einstufung bestätigt",IF(O33="Nein","Juristische Prüfung erforderlich","Arbeitsannahme — nicht bestätigt"))))</f>
        <v/>
      </c>
      <c r="Q33" s="10"/>
      <c r="R33" s="12"/>
      <c r="S33" s="10"/>
      <c r="T33" s="10"/>
    </row>
    <row r="34" customFormat="false" ht="25.5" hidden="false" customHeight="true" outlineLevel="0" collapsed="false">
      <c r="A34" s="7"/>
      <c r="B34" s="11" t="str">
        <f aca="false">IF(A34="","",IFERROR(INDEX('01_KI-Inventar'!$B$6:$B$65,MATCH(A34,'01_KI-Inventar'!$A$6:$A$65,0)),""))</f>
        <v/>
      </c>
      <c r="C34" s="7"/>
      <c r="D34" s="7"/>
      <c r="E34" s="7"/>
      <c r="F34" s="10"/>
      <c r="G34" s="7"/>
      <c r="H34" s="7"/>
      <c r="I34" s="7"/>
      <c r="J34" s="7"/>
      <c r="K34" s="11" t="str">
        <f aca="false">IF(A34="","",IF(OR(C34="",D34="",G34="",J34="",COUNTIF(C34:D34,"Prüfung offen")&gt;0,COUNTIF(H34:I34,"Prüfung offen")&gt;0,AND(D34="Ja",OR(E34="",E34="noch offen")),AND(G34&lt;&gt;"keiner",OR(H34="",AND(H34&lt;&gt;"Ja",I34="")))),"noch offen — Angaben unvollständig",IF(C34="Ja","VERBOTEN (Art. 5)",IF(AND(D34="Ja",E34="Abschnitt B",G34&lt;&gt;"keiner"),"Hochrisiko Anhang I Abschnitt B UND Anhang III — gesondert prüfen",IF(AND(D34="Ja",E34="Abschnitt B"),"Hochrisiko Anhang I Abschnitt B (Sektorrecht)",IF(AND(D34="Ja",G34&lt;&gt;"keiner"),"Hochrisiko Anhang I Abschnitt A und Anhang III",IF(D34="Ja","Hochrisiko Anhang I Abschnitt A",IF(G34&lt;&gt;"keiner",IF(H34="Ja","Hochrisiko Anhang III",IF(I34="Ja","Kein Hochrisiko (Art. 6 Abs. 3)","Hochrisiko Anhang III")),IF(J34&lt;&gt;"keiner","Transparenzpflicht (Art. 50)","Geringes Risiko")))))))))</f>
        <v/>
      </c>
      <c r="L34" s="11" t="str">
        <f aca="false">IF(K34="","",IF(K34="VERBOTEN (Art. 5)","02.02.2025 (NCII/CSAM: 02.12.2026)",IF(LEFT(K34,10)="noch offen","keine Frist — Einstufung zuerst abschließen",IF(K34="Hochrisiko Anhang I Abschnitt B (Sektorrecht)","Kapitel III gilt nicht. Es gelten nur Art. 6 Abs. 1, Art. 60a und Art. 102–112 (Art. 2 Abs. 2 n. F.). Frist und Pflichten folgen aus dem Sektorrecht — bei Maschinen: Anhang III VO (EU) 2023/1230, delegierter Rechtsakt ab 02.08.2028.",IF(K34="Hochrisiko Anhang I Abschnitt B UND Anhang III — gesondert prüfen","Uneinheitlich: Für den Anhang-I-Teil gilt Art. 2 Abs. 2 n. F. (nur Art. 6 Abs. 1, 60a, 102–112), für den Anhang-III-Teil der 02.12.2027. Juristisch klären.",IF(K34="Hochrisiko Anhang I Abschnitt A und Anhang III","02.12.2027 (Anhang III) / 02.08.2028 (Anhang I Abschnitt A) — Planungsannahme",IF(K34="Hochrisiko Anhang I Abschnitt A","02.08.2028 — Planungsannahme; Vorbehalt delegierter Rechtsakte nach Art. 2 Abs. 13 n. F. (bis 02.08.2027)",IF(K34="Hochrisiko Anhang III","02.12.2027 — Planungsannahme",IF(K34="Transparenzpflicht (Art. 50)","02.08.2026",IF(K34="Kein Hochrisiko (Art. 6 Abs. 3)","Registrierung nach Art. 49 Abs. 2; Bewertung VOR Inverkehrbringen dokumentieren","keine besonderen Pflichten aus den hier geprüften Kategorien — Art. 4 und übriges Recht (DSGVO, Arbeitsrecht, Urheberrecht) weiter prüfen"))))))))))</f>
        <v/>
      </c>
      <c r="M34" s="11" t="str">
        <f aca="false">IF(K34="","",IF(LEFT(K34,10)="noch offen","noch offen",IF(K34="Kein Hochrisiko (Art. 6 Abs. 3)","Ja — Art. 49 Abs. 2 (Anbieter); Bewertung VOR Inverkehrbringen dokumentieren (Art. 6 Abs. 4)",IF(K34="Hochrisiko Anhang I Abschnitt B (Sektorrecht)","Nein — Art. 49 ist nach Art. 2 Abs. 2 n. F. nicht anwendbar",IF(K34="Hochrisiko Anhang I Abschnitt A","Nein — Art. 49 Abs. 1 gilt nur für Anhang III",IF(AND(LEFT(G34,1)="2",ISNUMBER(SEARCH("Anhang III",K34))),"Nein — Registrierung auf nationaler Ebene (Art. 49 Abs. 5)",IF(ISNUMBER(SEARCH("Anhang III",K34)),"Ja — Art. 49 Abs. 1 (Anbieter); Behörden als Betreiber: Art. 49 Abs. 3","Nein")))))))</f>
        <v/>
      </c>
      <c r="N34" s="11" t="str">
        <f aca="false">IF(A34="","",IF(K34="VERBOTEN (Art. 5)","entfällt — Einsatz unzulässig",IF(K34="Hochrisiko Anhang I Abschnitt B (Sektorrecht)","Nein — Art. 50 ist nach Art. 2 Abs. 2 n. F. nicht anwendbar",IF(AND(J34&lt;&gt;"",J34&lt;&gt;"keiner"),"Ja — Art. 50 gilt zusätzlich ab 02.08.2026","Nein"))))</f>
        <v/>
      </c>
      <c r="O34" s="7"/>
      <c r="P34" s="11" t="str">
        <f aca="false">IF(K34="","",IF(LEFT(K34,10)="noch offen","Prüfung unvollständig",IF(O34="Ja","Einstufung bestätigt",IF(O34="Nein","Juristische Prüfung erforderlich","Arbeitsannahme — nicht bestätigt"))))</f>
        <v/>
      </c>
      <c r="Q34" s="10"/>
      <c r="R34" s="12"/>
      <c r="S34" s="10"/>
      <c r="T34" s="10"/>
    </row>
    <row r="35" customFormat="false" ht="25.5" hidden="false" customHeight="true" outlineLevel="0" collapsed="false">
      <c r="A35" s="7"/>
      <c r="B35" s="11" t="str">
        <f aca="false">IF(A35="","",IFERROR(INDEX('01_KI-Inventar'!$B$6:$B$65,MATCH(A35,'01_KI-Inventar'!$A$6:$A$65,0)),""))</f>
        <v/>
      </c>
      <c r="C35" s="7"/>
      <c r="D35" s="7"/>
      <c r="E35" s="7"/>
      <c r="F35" s="10"/>
      <c r="G35" s="7"/>
      <c r="H35" s="7"/>
      <c r="I35" s="7"/>
      <c r="J35" s="7"/>
      <c r="K35" s="11" t="str">
        <f aca="false">IF(A35="","",IF(OR(C35="",D35="",G35="",J35="",COUNTIF(C35:D35,"Prüfung offen")&gt;0,COUNTIF(H35:I35,"Prüfung offen")&gt;0,AND(D35="Ja",OR(E35="",E35="noch offen")),AND(G35&lt;&gt;"keiner",OR(H35="",AND(H35&lt;&gt;"Ja",I35="")))),"noch offen — Angaben unvollständig",IF(C35="Ja","VERBOTEN (Art. 5)",IF(AND(D35="Ja",E35="Abschnitt B",G35&lt;&gt;"keiner"),"Hochrisiko Anhang I Abschnitt B UND Anhang III — gesondert prüfen",IF(AND(D35="Ja",E35="Abschnitt B"),"Hochrisiko Anhang I Abschnitt B (Sektorrecht)",IF(AND(D35="Ja",G35&lt;&gt;"keiner"),"Hochrisiko Anhang I Abschnitt A und Anhang III",IF(D35="Ja","Hochrisiko Anhang I Abschnitt A",IF(G35&lt;&gt;"keiner",IF(H35="Ja","Hochrisiko Anhang III",IF(I35="Ja","Kein Hochrisiko (Art. 6 Abs. 3)","Hochrisiko Anhang III")),IF(J35&lt;&gt;"keiner","Transparenzpflicht (Art. 50)","Geringes Risiko")))))))))</f>
        <v/>
      </c>
      <c r="L35" s="11" t="str">
        <f aca="false">IF(K35="","",IF(K35="VERBOTEN (Art. 5)","02.02.2025 (NCII/CSAM: 02.12.2026)",IF(LEFT(K35,10)="noch offen","keine Frist — Einstufung zuerst abschließen",IF(K35="Hochrisiko Anhang I Abschnitt B (Sektorrecht)","Kapitel III gilt nicht. Es gelten nur Art. 6 Abs. 1, Art. 60a und Art. 102–112 (Art. 2 Abs. 2 n. F.). Frist und Pflichten folgen aus dem Sektorrecht — bei Maschinen: Anhang III VO (EU) 2023/1230, delegierter Rechtsakt ab 02.08.2028.",IF(K35="Hochrisiko Anhang I Abschnitt B UND Anhang III — gesondert prüfen","Uneinheitlich: Für den Anhang-I-Teil gilt Art. 2 Abs. 2 n. F. (nur Art. 6 Abs. 1, 60a, 102–112), für den Anhang-III-Teil der 02.12.2027. Juristisch klären.",IF(K35="Hochrisiko Anhang I Abschnitt A und Anhang III","02.12.2027 (Anhang III) / 02.08.2028 (Anhang I Abschnitt A) — Planungsannahme",IF(K35="Hochrisiko Anhang I Abschnitt A","02.08.2028 — Planungsannahme; Vorbehalt delegierter Rechtsakte nach Art. 2 Abs. 13 n. F. (bis 02.08.2027)",IF(K35="Hochrisiko Anhang III","02.12.2027 — Planungsannahme",IF(K35="Transparenzpflicht (Art. 50)","02.08.2026",IF(K35="Kein Hochrisiko (Art. 6 Abs. 3)","Registrierung nach Art. 49 Abs. 2; Bewertung VOR Inverkehrbringen dokumentieren","keine besonderen Pflichten aus den hier geprüften Kategorien — Art. 4 und übriges Recht (DSGVO, Arbeitsrecht, Urheberrecht) weiter prüfen"))))))))))</f>
        <v/>
      </c>
      <c r="M35" s="11" t="str">
        <f aca="false">IF(K35="","",IF(LEFT(K35,10)="noch offen","noch offen",IF(K35="Kein Hochrisiko (Art. 6 Abs. 3)","Ja — Art. 49 Abs. 2 (Anbieter); Bewertung VOR Inverkehrbringen dokumentieren (Art. 6 Abs. 4)",IF(K35="Hochrisiko Anhang I Abschnitt B (Sektorrecht)","Nein — Art. 49 ist nach Art. 2 Abs. 2 n. F. nicht anwendbar",IF(K35="Hochrisiko Anhang I Abschnitt A","Nein — Art. 49 Abs. 1 gilt nur für Anhang III",IF(AND(LEFT(G35,1)="2",ISNUMBER(SEARCH("Anhang III",K35))),"Nein — Registrierung auf nationaler Ebene (Art. 49 Abs. 5)",IF(ISNUMBER(SEARCH("Anhang III",K35)),"Ja — Art. 49 Abs. 1 (Anbieter); Behörden als Betreiber: Art. 49 Abs. 3","Nein")))))))</f>
        <v/>
      </c>
      <c r="N35" s="11" t="str">
        <f aca="false">IF(A35="","",IF(K35="VERBOTEN (Art. 5)","entfällt — Einsatz unzulässig",IF(K35="Hochrisiko Anhang I Abschnitt B (Sektorrecht)","Nein — Art. 50 ist nach Art. 2 Abs. 2 n. F. nicht anwendbar",IF(AND(J35&lt;&gt;"",J35&lt;&gt;"keiner"),"Ja — Art. 50 gilt zusätzlich ab 02.08.2026","Nein"))))</f>
        <v/>
      </c>
      <c r="O35" s="7"/>
      <c r="P35" s="11" t="str">
        <f aca="false">IF(K35="","",IF(LEFT(K35,10)="noch offen","Prüfung unvollständig",IF(O35="Ja","Einstufung bestätigt",IF(O35="Nein","Juristische Prüfung erforderlich","Arbeitsannahme — nicht bestätigt"))))</f>
        <v/>
      </c>
      <c r="Q35" s="10"/>
      <c r="R35" s="12"/>
      <c r="S35" s="10"/>
      <c r="T35" s="10"/>
    </row>
    <row r="36" customFormat="false" ht="25.5" hidden="false" customHeight="true" outlineLevel="0" collapsed="false">
      <c r="A36" s="7"/>
      <c r="B36" s="11" t="str">
        <f aca="false">IF(A36="","",IFERROR(INDEX('01_KI-Inventar'!$B$6:$B$65,MATCH(A36,'01_KI-Inventar'!$A$6:$A$65,0)),""))</f>
        <v/>
      </c>
      <c r="C36" s="7"/>
      <c r="D36" s="7"/>
      <c r="E36" s="7"/>
      <c r="F36" s="10"/>
      <c r="G36" s="7"/>
      <c r="H36" s="7"/>
      <c r="I36" s="7"/>
      <c r="J36" s="7"/>
      <c r="K36" s="11" t="str">
        <f aca="false">IF(A36="","",IF(OR(C36="",D36="",G36="",J36="",COUNTIF(C36:D36,"Prüfung offen")&gt;0,COUNTIF(H36:I36,"Prüfung offen")&gt;0,AND(D36="Ja",OR(E36="",E36="noch offen")),AND(G36&lt;&gt;"keiner",OR(H36="",AND(H36&lt;&gt;"Ja",I36="")))),"noch offen — Angaben unvollständig",IF(C36="Ja","VERBOTEN (Art. 5)",IF(AND(D36="Ja",E36="Abschnitt B",G36&lt;&gt;"keiner"),"Hochrisiko Anhang I Abschnitt B UND Anhang III — gesondert prüfen",IF(AND(D36="Ja",E36="Abschnitt B"),"Hochrisiko Anhang I Abschnitt B (Sektorrecht)",IF(AND(D36="Ja",G36&lt;&gt;"keiner"),"Hochrisiko Anhang I Abschnitt A und Anhang III",IF(D36="Ja","Hochrisiko Anhang I Abschnitt A",IF(G36&lt;&gt;"keiner",IF(H36="Ja","Hochrisiko Anhang III",IF(I36="Ja","Kein Hochrisiko (Art. 6 Abs. 3)","Hochrisiko Anhang III")),IF(J36&lt;&gt;"keiner","Transparenzpflicht (Art. 50)","Geringes Risiko")))))))))</f>
        <v/>
      </c>
      <c r="L36" s="11" t="str">
        <f aca="false">IF(K36="","",IF(K36="VERBOTEN (Art. 5)","02.02.2025 (NCII/CSAM: 02.12.2026)",IF(LEFT(K36,10)="noch offen","keine Frist — Einstufung zuerst abschließen",IF(K36="Hochrisiko Anhang I Abschnitt B (Sektorrecht)","Kapitel III gilt nicht. Es gelten nur Art. 6 Abs. 1, Art. 60a und Art. 102–112 (Art. 2 Abs. 2 n. F.). Frist und Pflichten folgen aus dem Sektorrecht — bei Maschinen: Anhang III VO (EU) 2023/1230, delegierter Rechtsakt ab 02.08.2028.",IF(K36="Hochrisiko Anhang I Abschnitt B UND Anhang III — gesondert prüfen","Uneinheitlich: Für den Anhang-I-Teil gilt Art. 2 Abs. 2 n. F. (nur Art. 6 Abs. 1, 60a, 102–112), für den Anhang-III-Teil der 02.12.2027. Juristisch klären.",IF(K36="Hochrisiko Anhang I Abschnitt A und Anhang III","02.12.2027 (Anhang III) / 02.08.2028 (Anhang I Abschnitt A) — Planungsannahme",IF(K36="Hochrisiko Anhang I Abschnitt A","02.08.2028 — Planungsannahme; Vorbehalt delegierter Rechtsakte nach Art. 2 Abs. 13 n. F. (bis 02.08.2027)",IF(K36="Hochrisiko Anhang III","02.12.2027 — Planungsannahme",IF(K36="Transparenzpflicht (Art. 50)","02.08.2026",IF(K36="Kein Hochrisiko (Art. 6 Abs. 3)","Registrierung nach Art. 49 Abs. 2; Bewertung VOR Inverkehrbringen dokumentieren","keine besonderen Pflichten aus den hier geprüften Kategorien — Art. 4 und übriges Recht (DSGVO, Arbeitsrecht, Urheberrecht) weiter prüfen"))))))))))</f>
        <v/>
      </c>
      <c r="M36" s="11" t="str">
        <f aca="false">IF(K36="","",IF(LEFT(K36,10)="noch offen","noch offen",IF(K36="Kein Hochrisiko (Art. 6 Abs. 3)","Ja — Art. 49 Abs. 2 (Anbieter); Bewertung VOR Inverkehrbringen dokumentieren (Art. 6 Abs. 4)",IF(K36="Hochrisiko Anhang I Abschnitt B (Sektorrecht)","Nein — Art. 49 ist nach Art. 2 Abs. 2 n. F. nicht anwendbar",IF(K36="Hochrisiko Anhang I Abschnitt A","Nein — Art. 49 Abs. 1 gilt nur für Anhang III",IF(AND(LEFT(G36,1)="2",ISNUMBER(SEARCH("Anhang III",K36))),"Nein — Registrierung auf nationaler Ebene (Art. 49 Abs. 5)",IF(ISNUMBER(SEARCH("Anhang III",K36)),"Ja — Art. 49 Abs. 1 (Anbieter); Behörden als Betreiber: Art. 49 Abs. 3","Nein")))))))</f>
        <v/>
      </c>
      <c r="N36" s="11" t="str">
        <f aca="false">IF(A36="","",IF(K36="VERBOTEN (Art. 5)","entfällt — Einsatz unzulässig",IF(K36="Hochrisiko Anhang I Abschnitt B (Sektorrecht)","Nein — Art. 50 ist nach Art. 2 Abs. 2 n. F. nicht anwendbar",IF(AND(J36&lt;&gt;"",J36&lt;&gt;"keiner"),"Ja — Art. 50 gilt zusätzlich ab 02.08.2026","Nein"))))</f>
        <v/>
      </c>
      <c r="O36" s="7"/>
      <c r="P36" s="11" t="str">
        <f aca="false">IF(K36="","",IF(LEFT(K36,10)="noch offen","Prüfung unvollständig",IF(O36="Ja","Einstufung bestätigt",IF(O36="Nein","Juristische Prüfung erforderlich","Arbeitsannahme — nicht bestätigt"))))</f>
        <v/>
      </c>
      <c r="Q36" s="10"/>
      <c r="R36" s="12"/>
      <c r="S36" s="10"/>
      <c r="T36" s="10"/>
    </row>
    <row r="37" customFormat="false" ht="25.5" hidden="false" customHeight="true" outlineLevel="0" collapsed="false">
      <c r="A37" s="7"/>
      <c r="B37" s="11" t="str">
        <f aca="false">IF(A37="","",IFERROR(INDEX('01_KI-Inventar'!$B$6:$B$65,MATCH(A37,'01_KI-Inventar'!$A$6:$A$65,0)),""))</f>
        <v/>
      </c>
      <c r="C37" s="7"/>
      <c r="D37" s="7"/>
      <c r="E37" s="7"/>
      <c r="F37" s="10"/>
      <c r="G37" s="7"/>
      <c r="H37" s="7"/>
      <c r="I37" s="7"/>
      <c r="J37" s="7"/>
      <c r="K37" s="11" t="str">
        <f aca="false">IF(A37="","",IF(OR(C37="",D37="",G37="",J37="",COUNTIF(C37:D37,"Prüfung offen")&gt;0,COUNTIF(H37:I37,"Prüfung offen")&gt;0,AND(D37="Ja",OR(E37="",E37="noch offen")),AND(G37&lt;&gt;"keiner",OR(H37="",AND(H37&lt;&gt;"Ja",I37="")))),"noch offen — Angaben unvollständig",IF(C37="Ja","VERBOTEN (Art. 5)",IF(AND(D37="Ja",E37="Abschnitt B",G37&lt;&gt;"keiner"),"Hochrisiko Anhang I Abschnitt B UND Anhang III — gesondert prüfen",IF(AND(D37="Ja",E37="Abschnitt B"),"Hochrisiko Anhang I Abschnitt B (Sektorrecht)",IF(AND(D37="Ja",G37&lt;&gt;"keiner"),"Hochrisiko Anhang I Abschnitt A und Anhang III",IF(D37="Ja","Hochrisiko Anhang I Abschnitt A",IF(G37&lt;&gt;"keiner",IF(H37="Ja","Hochrisiko Anhang III",IF(I37="Ja","Kein Hochrisiko (Art. 6 Abs. 3)","Hochrisiko Anhang III")),IF(J37&lt;&gt;"keiner","Transparenzpflicht (Art. 50)","Geringes Risiko")))))))))</f>
        <v/>
      </c>
      <c r="L37" s="11" t="str">
        <f aca="false">IF(K37="","",IF(K37="VERBOTEN (Art. 5)","02.02.2025 (NCII/CSAM: 02.12.2026)",IF(LEFT(K37,10)="noch offen","keine Frist — Einstufung zuerst abschließen",IF(K37="Hochrisiko Anhang I Abschnitt B (Sektorrecht)","Kapitel III gilt nicht. Es gelten nur Art. 6 Abs. 1, Art. 60a und Art. 102–112 (Art. 2 Abs. 2 n. F.). Frist und Pflichten folgen aus dem Sektorrecht — bei Maschinen: Anhang III VO (EU) 2023/1230, delegierter Rechtsakt ab 02.08.2028.",IF(K37="Hochrisiko Anhang I Abschnitt B UND Anhang III — gesondert prüfen","Uneinheitlich: Für den Anhang-I-Teil gilt Art. 2 Abs. 2 n. F. (nur Art. 6 Abs. 1, 60a, 102–112), für den Anhang-III-Teil der 02.12.2027. Juristisch klären.",IF(K37="Hochrisiko Anhang I Abschnitt A und Anhang III","02.12.2027 (Anhang III) / 02.08.2028 (Anhang I Abschnitt A) — Planungsannahme",IF(K37="Hochrisiko Anhang I Abschnitt A","02.08.2028 — Planungsannahme; Vorbehalt delegierter Rechtsakte nach Art. 2 Abs. 13 n. F. (bis 02.08.2027)",IF(K37="Hochrisiko Anhang III","02.12.2027 — Planungsannahme",IF(K37="Transparenzpflicht (Art. 50)","02.08.2026",IF(K37="Kein Hochrisiko (Art. 6 Abs. 3)","Registrierung nach Art. 49 Abs. 2; Bewertung VOR Inverkehrbringen dokumentieren","keine besonderen Pflichten aus den hier geprüften Kategorien — Art. 4 und übriges Recht (DSGVO, Arbeitsrecht, Urheberrecht) weiter prüfen"))))))))))</f>
        <v/>
      </c>
      <c r="M37" s="11" t="str">
        <f aca="false">IF(K37="","",IF(LEFT(K37,10)="noch offen","noch offen",IF(K37="Kein Hochrisiko (Art. 6 Abs. 3)","Ja — Art. 49 Abs. 2 (Anbieter); Bewertung VOR Inverkehrbringen dokumentieren (Art. 6 Abs. 4)",IF(K37="Hochrisiko Anhang I Abschnitt B (Sektorrecht)","Nein — Art. 49 ist nach Art. 2 Abs. 2 n. F. nicht anwendbar",IF(K37="Hochrisiko Anhang I Abschnitt A","Nein — Art. 49 Abs. 1 gilt nur für Anhang III",IF(AND(LEFT(G37,1)="2",ISNUMBER(SEARCH("Anhang III",K37))),"Nein — Registrierung auf nationaler Ebene (Art. 49 Abs. 5)",IF(ISNUMBER(SEARCH("Anhang III",K37)),"Ja — Art. 49 Abs. 1 (Anbieter); Behörden als Betreiber: Art. 49 Abs. 3","Nein")))))))</f>
        <v/>
      </c>
      <c r="N37" s="11" t="str">
        <f aca="false">IF(A37="","",IF(K37="VERBOTEN (Art. 5)","entfällt — Einsatz unzulässig",IF(K37="Hochrisiko Anhang I Abschnitt B (Sektorrecht)","Nein — Art. 50 ist nach Art. 2 Abs. 2 n. F. nicht anwendbar",IF(AND(J37&lt;&gt;"",J37&lt;&gt;"keiner"),"Ja — Art. 50 gilt zusätzlich ab 02.08.2026","Nein"))))</f>
        <v/>
      </c>
      <c r="O37" s="7"/>
      <c r="P37" s="11" t="str">
        <f aca="false">IF(K37="","",IF(LEFT(K37,10)="noch offen","Prüfung unvollständig",IF(O37="Ja","Einstufung bestätigt",IF(O37="Nein","Juristische Prüfung erforderlich","Arbeitsannahme — nicht bestätigt"))))</f>
        <v/>
      </c>
      <c r="Q37" s="10"/>
      <c r="R37" s="12"/>
      <c r="S37" s="10"/>
      <c r="T37" s="10"/>
    </row>
    <row r="38" customFormat="false" ht="25.5" hidden="false" customHeight="true" outlineLevel="0" collapsed="false">
      <c r="A38" s="7"/>
      <c r="B38" s="11" t="str">
        <f aca="false">IF(A38="","",IFERROR(INDEX('01_KI-Inventar'!$B$6:$B$65,MATCH(A38,'01_KI-Inventar'!$A$6:$A$65,0)),""))</f>
        <v/>
      </c>
      <c r="C38" s="7"/>
      <c r="D38" s="7"/>
      <c r="E38" s="7"/>
      <c r="F38" s="10"/>
      <c r="G38" s="7"/>
      <c r="H38" s="7"/>
      <c r="I38" s="7"/>
      <c r="J38" s="7"/>
      <c r="K38" s="11" t="str">
        <f aca="false">IF(A38="","",IF(OR(C38="",D38="",G38="",J38="",COUNTIF(C38:D38,"Prüfung offen")&gt;0,COUNTIF(H38:I38,"Prüfung offen")&gt;0,AND(D38="Ja",OR(E38="",E38="noch offen")),AND(G38&lt;&gt;"keiner",OR(H38="",AND(H38&lt;&gt;"Ja",I38="")))),"noch offen — Angaben unvollständig",IF(C38="Ja","VERBOTEN (Art. 5)",IF(AND(D38="Ja",E38="Abschnitt B",G38&lt;&gt;"keiner"),"Hochrisiko Anhang I Abschnitt B UND Anhang III — gesondert prüfen",IF(AND(D38="Ja",E38="Abschnitt B"),"Hochrisiko Anhang I Abschnitt B (Sektorrecht)",IF(AND(D38="Ja",G38&lt;&gt;"keiner"),"Hochrisiko Anhang I Abschnitt A und Anhang III",IF(D38="Ja","Hochrisiko Anhang I Abschnitt A",IF(G38&lt;&gt;"keiner",IF(H38="Ja","Hochrisiko Anhang III",IF(I38="Ja","Kein Hochrisiko (Art. 6 Abs. 3)","Hochrisiko Anhang III")),IF(J38&lt;&gt;"keiner","Transparenzpflicht (Art. 50)","Geringes Risiko")))))))))</f>
        <v/>
      </c>
      <c r="L38" s="11" t="str">
        <f aca="false">IF(K38="","",IF(K38="VERBOTEN (Art. 5)","02.02.2025 (NCII/CSAM: 02.12.2026)",IF(LEFT(K38,10)="noch offen","keine Frist — Einstufung zuerst abschließen",IF(K38="Hochrisiko Anhang I Abschnitt B (Sektorrecht)","Kapitel III gilt nicht. Es gelten nur Art. 6 Abs. 1, Art. 60a und Art. 102–112 (Art. 2 Abs. 2 n. F.). Frist und Pflichten folgen aus dem Sektorrecht — bei Maschinen: Anhang III VO (EU) 2023/1230, delegierter Rechtsakt ab 02.08.2028.",IF(K38="Hochrisiko Anhang I Abschnitt B UND Anhang III — gesondert prüfen","Uneinheitlich: Für den Anhang-I-Teil gilt Art. 2 Abs. 2 n. F. (nur Art. 6 Abs. 1, 60a, 102–112), für den Anhang-III-Teil der 02.12.2027. Juristisch klären.",IF(K38="Hochrisiko Anhang I Abschnitt A und Anhang III","02.12.2027 (Anhang III) / 02.08.2028 (Anhang I Abschnitt A) — Planungsannahme",IF(K38="Hochrisiko Anhang I Abschnitt A","02.08.2028 — Planungsannahme; Vorbehalt delegierter Rechtsakte nach Art. 2 Abs. 13 n. F. (bis 02.08.2027)",IF(K38="Hochrisiko Anhang III","02.12.2027 — Planungsannahme",IF(K38="Transparenzpflicht (Art. 50)","02.08.2026",IF(K38="Kein Hochrisiko (Art. 6 Abs. 3)","Registrierung nach Art. 49 Abs. 2; Bewertung VOR Inverkehrbringen dokumentieren","keine besonderen Pflichten aus den hier geprüften Kategorien — Art. 4 und übriges Recht (DSGVO, Arbeitsrecht, Urheberrecht) weiter prüfen"))))))))))</f>
        <v/>
      </c>
      <c r="M38" s="11" t="str">
        <f aca="false">IF(K38="","",IF(LEFT(K38,10)="noch offen","noch offen",IF(K38="Kein Hochrisiko (Art. 6 Abs. 3)","Ja — Art. 49 Abs. 2 (Anbieter); Bewertung VOR Inverkehrbringen dokumentieren (Art. 6 Abs. 4)",IF(K38="Hochrisiko Anhang I Abschnitt B (Sektorrecht)","Nein — Art. 49 ist nach Art. 2 Abs. 2 n. F. nicht anwendbar",IF(K38="Hochrisiko Anhang I Abschnitt A","Nein — Art. 49 Abs. 1 gilt nur für Anhang III",IF(AND(LEFT(G38,1)="2",ISNUMBER(SEARCH("Anhang III",K38))),"Nein — Registrierung auf nationaler Ebene (Art. 49 Abs. 5)",IF(ISNUMBER(SEARCH("Anhang III",K38)),"Ja — Art. 49 Abs. 1 (Anbieter); Behörden als Betreiber: Art. 49 Abs. 3","Nein")))))))</f>
        <v/>
      </c>
      <c r="N38" s="11" t="str">
        <f aca="false">IF(A38="","",IF(K38="VERBOTEN (Art. 5)","entfällt — Einsatz unzulässig",IF(K38="Hochrisiko Anhang I Abschnitt B (Sektorrecht)","Nein — Art. 50 ist nach Art. 2 Abs. 2 n. F. nicht anwendbar",IF(AND(J38&lt;&gt;"",J38&lt;&gt;"keiner"),"Ja — Art. 50 gilt zusätzlich ab 02.08.2026","Nein"))))</f>
        <v/>
      </c>
      <c r="O38" s="7"/>
      <c r="P38" s="11" t="str">
        <f aca="false">IF(K38="","",IF(LEFT(K38,10)="noch offen","Prüfung unvollständig",IF(O38="Ja","Einstufung bestätigt",IF(O38="Nein","Juristische Prüfung erforderlich","Arbeitsannahme — nicht bestätigt"))))</f>
        <v/>
      </c>
      <c r="Q38" s="10"/>
      <c r="R38" s="12"/>
      <c r="S38" s="10"/>
      <c r="T38" s="10"/>
    </row>
    <row r="39" customFormat="false" ht="25.5" hidden="false" customHeight="true" outlineLevel="0" collapsed="false">
      <c r="A39" s="7"/>
      <c r="B39" s="11" t="str">
        <f aca="false">IF(A39="","",IFERROR(INDEX('01_KI-Inventar'!$B$6:$B$65,MATCH(A39,'01_KI-Inventar'!$A$6:$A$65,0)),""))</f>
        <v/>
      </c>
      <c r="C39" s="7"/>
      <c r="D39" s="7"/>
      <c r="E39" s="7"/>
      <c r="F39" s="10"/>
      <c r="G39" s="7"/>
      <c r="H39" s="7"/>
      <c r="I39" s="7"/>
      <c r="J39" s="7"/>
      <c r="K39" s="11" t="str">
        <f aca="false">IF(A39="","",IF(OR(C39="",D39="",G39="",J39="",COUNTIF(C39:D39,"Prüfung offen")&gt;0,COUNTIF(H39:I39,"Prüfung offen")&gt;0,AND(D39="Ja",OR(E39="",E39="noch offen")),AND(G39&lt;&gt;"keiner",OR(H39="",AND(H39&lt;&gt;"Ja",I39="")))),"noch offen — Angaben unvollständig",IF(C39="Ja","VERBOTEN (Art. 5)",IF(AND(D39="Ja",E39="Abschnitt B",G39&lt;&gt;"keiner"),"Hochrisiko Anhang I Abschnitt B UND Anhang III — gesondert prüfen",IF(AND(D39="Ja",E39="Abschnitt B"),"Hochrisiko Anhang I Abschnitt B (Sektorrecht)",IF(AND(D39="Ja",G39&lt;&gt;"keiner"),"Hochrisiko Anhang I Abschnitt A und Anhang III",IF(D39="Ja","Hochrisiko Anhang I Abschnitt A",IF(G39&lt;&gt;"keiner",IF(H39="Ja","Hochrisiko Anhang III",IF(I39="Ja","Kein Hochrisiko (Art. 6 Abs. 3)","Hochrisiko Anhang III")),IF(J39&lt;&gt;"keiner","Transparenzpflicht (Art. 50)","Geringes Risiko")))))))))</f>
        <v/>
      </c>
      <c r="L39" s="11" t="str">
        <f aca="false">IF(K39="","",IF(K39="VERBOTEN (Art. 5)","02.02.2025 (NCII/CSAM: 02.12.2026)",IF(LEFT(K39,10)="noch offen","keine Frist — Einstufung zuerst abschließen",IF(K39="Hochrisiko Anhang I Abschnitt B (Sektorrecht)","Kapitel III gilt nicht. Es gelten nur Art. 6 Abs. 1, Art. 60a und Art. 102–112 (Art. 2 Abs. 2 n. F.). Frist und Pflichten folgen aus dem Sektorrecht — bei Maschinen: Anhang III VO (EU) 2023/1230, delegierter Rechtsakt ab 02.08.2028.",IF(K39="Hochrisiko Anhang I Abschnitt B UND Anhang III — gesondert prüfen","Uneinheitlich: Für den Anhang-I-Teil gilt Art. 2 Abs. 2 n. F. (nur Art. 6 Abs. 1, 60a, 102–112), für den Anhang-III-Teil der 02.12.2027. Juristisch klären.",IF(K39="Hochrisiko Anhang I Abschnitt A und Anhang III","02.12.2027 (Anhang III) / 02.08.2028 (Anhang I Abschnitt A) — Planungsannahme",IF(K39="Hochrisiko Anhang I Abschnitt A","02.08.2028 — Planungsannahme; Vorbehalt delegierter Rechtsakte nach Art. 2 Abs. 13 n. F. (bis 02.08.2027)",IF(K39="Hochrisiko Anhang III","02.12.2027 — Planungsannahme",IF(K39="Transparenzpflicht (Art. 50)","02.08.2026",IF(K39="Kein Hochrisiko (Art. 6 Abs. 3)","Registrierung nach Art. 49 Abs. 2; Bewertung VOR Inverkehrbringen dokumentieren","keine besonderen Pflichten aus den hier geprüften Kategorien — Art. 4 und übriges Recht (DSGVO, Arbeitsrecht, Urheberrecht) weiter prüfen"))))))))))</f>
        <v/>
      </c>
      <c r="M39" s="11" t="str">
        <f aca="false">IF(K39="","",IF(LEFT(K39,10)="noch offen","noch offen",IF(K39="Kein Hochrisiko (Art. 6 Abs. 3)","Ja — Art. 49 Abs. 2 (Anbieter); Bewertung VOR Inverkehrbringen dokumentieren (Art. 6 Abs. 4)",IF(K39="Hochrisiko Anhang I Abschnitt B (Sektorrecht)","Nein — Art. 49 ist nach Art. 2 Abs. 2 n. F. nicht anwendbar",IF(K39="Hochrisiko Anhang I Abschnitt A","Nein — Art. 49 Abs. 1 gilt nur für Anhang III",IF(AND(LEFT(G39,1)="2",ISNUMBER(SEARCH("Anhang III",K39))),"Nein — Registrierung auf nationaler Ebene (Art. 49 Abs. 5)",IF(ISNUMBER(SEARCH("Anhang III",K39)),"Ja — Art. 49 Abs. 1 (Anbieter); Behörden als Betreiber: Art. 49 Abs. 3","Nein")))))))</f>
        <v/>
      </c>
      <c r="N39" s="11" t="str">
        <f aca="false">IF(A39="","",IF(K39="VERBOTEN (Art. 5)","entfällt — Einsatz unzulässig",IF(K39="Hochrisiko Anhang I Abschnitt B (Sektorrecht)","Nein — Art. 50 ist nach Art. 2 Abs. 2 n. F. nicht anwendbar",IF(AND(J39&lt;&gt;"",J39&lt;&gt;"keiner"),"Ja — Art. 50 gilt zusätzlich ab 02.08.2026","Nein"))))</f>
        <v/>
      </c>
      <c r="O39" s="7"/>
      <c r="P39" s="11" t="str">
        <f aca="false">IF(K39="","",IF(LEFT(K39,10)="noch offen","Prüfung unvollständig",IF(O39="Ja","Einstufung bestätigt",IF(O39="Nein","Juristische Prüfung erforderlich","Arbeitsannahme — nicht bestätigt"))))</f>
        <v/>
      </c>
      <c r="Q39" s="10"/>
      <c r="R39" s="12"/>
      <c r="S39" s="10"/>
      <c r="T39" s="10"/>
    </row>
    <row r="40" customFormat="false" ht="25.5" hidden="false" customHeight="true" outlineLevel="0" collapsed="false">
      <c r="A40" s="7"/>
      <c r="B40" s="11" t="str">
        <f aca="false">IF(A40="","",IFERROR(INDEX('01_KI-Inventar'!$B$6:$B$65,MATCH(A40,'01_KI-Inventar'!$A$6:$A$65,0)),""))</f>
        <v/>
      </c>
      <c r="C40" s="7"/>
      <c r="D40" s="7"/>
      <c r="E40" s="7"/>
      <c r="F40" s="10"/>
      <c r="G40" s="7"/>
      <c r="H40" s="7"/>
      <c r="I40" s="7"/>
      <c r="J40" s="7"/>
      <c r="K40" s="11" t="str">
        <f aca="false">IF(A40="","",IF(OR(C40="",D40="",G40="",J40="",COUNTIF(C40:D40,"Prüfung offen")&gt;0,COUNTIF(H40:I40,"Prüfung offen")&gt;0,AND(D40="Ja",OR(E40="",E40="noch offen")),AND(G40&lt;&gt;"keiner",OR(H40="",AND(H40&lt;&gt;"Ja",I40="")))),"noch offen — Angaben unvollständig",IF(C40="Ja","VERBOTEN (Art. 5)",IF(AND(D40="Ja",E40="Abschnitt B",G40&lt;&gt;"keiner"),"Hochrisiko Anhang I Abschnitt B UND Anhang III — gesondert prüfen",IF(AND(D40="Ja",E40="Abschnitt B"),"Hochrisiko Anhang I Abschnitt B (Sektorrecht)",IF(AND(D40="Ja",G40&lt;&gt;"keiner"),"Hochrisiko Anhang I Abschnitt A und Anhang III",IF(D40="Ja","Hochrisiko Anhang I Abschnitt A",IF(G40&lt;&gt;"keiner",IF(H40="Ja","Hochrisiko Anhang III",IF(I40="Ja","Kein Hochrisiko (Art. 6 Abs. 3)","Hochrisiko Anhang III")),IF(J40&lt;&gt;"keiner","Transparenzpflicht (Art. 50)","Geringes Risiko")))))))))</f>
        <v/>
      </c>
      <c r="L40" s="11" t="str">
        <f aca="false">IF(K40="","",IF(K40="VERBOTEN (Art. 5)","02.02.2025 (NCII/CSAM: 02.12.2026)",IF(LEFT(K40,10)="noch offen","keine Frist — Einstufung zuerst abschließen",IF(K40="Hochrisiko Anhang I Abschnitt B (Sektorrecht)","Kapitel III gilt nicht. Es gelten nur Art. 6 Abs. 1, Art. 60a und Art. 102–112 (Art. 2 Abs. 2 n. F.). Frist und Pflichten folgen aus dem Sektorrecht — bei Maschinen: Anhang III VO (EU) 2023/1230, delegierter Rechtsakt ab 02.08.2028.",IF(K40="Hochrisiko Anhang I Abschnitt B UND Anhang III — gesondert prüfen","Uneinheitlich: Für den Anhang-I-Teil gilt Art. 2 Abs. 2 n. F. (nur Art. 6 Abs. 1, 60a, 102–112), für den Anhang-III-Teil der 02.12.2027. Juristisch klären.",IF(K40="Hochrisiko Anhang I Abschnitt A und Anhang III","02.12.2027 (Anhang III) / 02.08.2028 (Anhang I Abschnitt A) — Planungsannahme",IF(K40="Hochrisiko Anhang I Abschnitt A","02.08.2028 — Planungsannahme; Vorbehalt delegierter Rechtsakte nach Art. 2 Abs. 13 n. F. (bis 02.08.2027)",IF(K40="Hochrisiko Anhang III","02.12.2027 — Planungsannahme",IF(K40="Transparenzpflicht (Art. 50)","02.08.2026",IF(K40="Kein Hochrisiko (Art. 6 Abs. 3)","Registrierung nach Art. 49 Abs. 2; Bewertung VOR Inverkehrbringen dokumentieren","keine besonderen Pflichten aus den hier geprüften Kategorien — Art. 4 und übriges Recht (DSGVO, Arbeitsrecht, Urheberrecht) weiter prüfen"))))))))))</f>
        <v/>
      </c>
      <c r="M40" s="11" t="str">
        <f aca="false">IF(K40="","",IF(LEFT(K40,10)="noch offen","noch offen",IF(K40="Kein Hochrisiko (Art. 6 Abs. 3)","Ja — Art. 49 Abs. 2 (Anbieter); Bewertung VOR Inverkehrbringen dokumentieren (Art. 6 Abs. 4)",IF(K40="Hochrisiko Anhang I Abschnitt B (Sektorrecht)","Nein — Art. 49 ist nach Art. 2 Abs. 2 n. F. nicht anwendbar",IF(K40="Hochrisiko Anhang I Abschnitt A","Nein — Art. 49 Abs. 1 gilt nur für Anhang III",IF(AND(LEFT(G40,1)="2",ISNUMBER(SEARCH("Anhang III",K40))),"Nein — Registrierung auf nationaler Ebene (Art. 49 Abs. 5)",IF(ISNUMBER(SEARCH("Anhang III",K40)),"Ja — Art. 49 Abs. 1 (Anbieter); Behörden als Betreiber: Art. 49 Abs. 3","Nein")))))))</f>
        <v/>
      </c>
      <c r="N40" s="11" t="str">
        <f aca="false">IF(A40="","",IF(K40="VERBOTEN (Art. 5)","entfällt — Einsatz unzulässig",IF(K40="Hochrisiko Anhang I Abschnitt B (Sektorrecht)","Nein — Art. 50 ist nach Art. 2 Abs. 2 n. F. nicht anwendbar",IF(AND(J40&lt;&gt;"",J40&lt;&gt;"keiner"),"Ja — Art. 50 gilt zusätzlich ab 02.08.2026","Nein"))))</f>
        <v/>
      </c>
      <c r="O40" s="7"/>
      <c r="P40" s="11" t="str">
        <f aca="false">IF(K40="","",IF(LEFT(K40,10)="noch offen","Prüfung unvollständig",IF(O40="Ja","Einstufung bestätigt",IF(O40="Nein","Juristische Prüfung erforderlich","Arbeitsannahme — nicht bestätigt"))))</f>
        <v/>
      </c>
      <c r="Q40" s="10"/>
      <c r="R40" s="12"/>
      <c r="S40" s="10"/>
      <c r="T40" s="10"/>
    </row>
    <row r="41" customFormat="false" ht="25.5" hidden="false" customHeight="true" outlineLevel="0" collapsed="false">
      <c r="A41" s="7"/>
      <c r="B41" s="11" t="str">
        <f aca="false">IF(A41="","",IFERROR(INDEX('01_KI-Inventar'!$B$6:$B$65,MATCH(A41,'01_KI-Inventar'!$A$6:$A$65,0)),""))</f>
        <v/>
      </c>
      <c r="C41" s="7"/>
      <c r="D41" s="7"/>
      <c r="E41" s="7"/>
      <c r="F41" s="10"/>
      <c r="G41" s="7"/>
      <c r="H41" s="7"/>
      <c r="I41" s="7"/>
      <c r="J41" s="7"/>
      <c r="K41" s="11" t="str">
        <f aca="false">IF(A41="","",IF(OR(C41="",D41="",G41="",J41="",COUNTIF(C41:D41,"Prüfung offen")&gt;0,COUNTIF(H41:I41,"Prüfung offen")&gt;0,AND(D41="Ja",OR(E41="",E41="noch offen")),AND(G41&lt;&gt;"keiner",OR(H41="",AND(H41&lt;&gt;"Ja",I41="")))),"noch offen — Angaben unvollständig",IF(C41="Ja","VERBOTEN (Art. 5)",IF(AND(D41="Ja",E41="Abschnitt B",G41&lt;&gt;"keiner"),"Hochrisiko Anhang I Abschnitt B UND Anhang III — gesondert prüfen",IF(AND(D41="Ja",E41="Abschnitt B"),"Hochrisiko Anhang I Abschnitt B (Sektorrecht)",IF(AND(D41="Ja",G41&lt;&gt;"keiner"),"Hochrisiko Anhang I Abschnitt A und Anhang III",IF(D41="Ja","Hochrisiko Anhang I Abschnitt A",IF(G41&lt;&gt;"keiner",IF(H41="Ja","Hochrisiko Anhang III",IF(I41="Ja","Kein Hochrisiko (Art. 6 Abs. 3)","Hochrisiko Anhang III")),IF(J41&lt;&gt;"keiner","Transparenzpflicht (Art. 50)","Geringes Risiko")))))))))</f>
        <v/>
      </c>
      <c r="L41" s="11" t="str">
        <f aca="false">IF(K41="","",IF(K41="VERBOTEN (Art. 5)","02.02.2025 (NCII/CSAM: 02.12.2026)",IF(LEFT(K41,10)="noch offen","keine Frist — Einstufung zuerst abschließen",IF(K41="Hochrisiko Anhang I Abschnitt B (Sektorrecht)","Kapitel III gilt nicht. Es gelten nur Art. 6 Abs. 1, Art. 60a und Art. 102–112 (Art. 2 Abs. 2 n. F.). Frist und Pflichten folgen aus dem Sektorrecht — bei Maschinen: Anhang III VO (EU) 2023/1230, delegierter Rechtsakt ab 02.08.2028.",IF(K41="Hochrisiko Anhang I Abschnitt B UND Anhang III — gesondert prüfen","Uneinheitlich: Für den Anhang-I-Teil gilt Art. 2 Abs. 2 n. F. (nur Art. 6 Abs. 1, 60a, 102–112), für den Anhang-III-Teil der 02.12.2027. Juristisch klären.",IF(K41="Hochrisiko Anhang I Abschnitt A und Anhang III","02.12.2027 (Anhang III) / 02.08.2028 (Anhang I Abschnitt A) — Planungsannahme",IF(K41="Hochrisiko Anhang I Abschnitt A","02.08.2028 — Planungsannahme; Vorbehalt delegierter Rechtsakte nach Art. 2 Abs. 13 n. F. (bis 02.08.2027)",IF(K41="Hochrisiko Anhang III","02.12.2027 — Planungsannahme",IF(K41="Transparenzpflicht (Art. 50)","02.08.2026",IF(K41="Kein Hochrisiko (Art. 6 Abs. 3)","Registrierung nach Art. 49 Abs. 2; Bewertung VOR Inverkehrbringen dokumentieren","keine besonderen Pflichten aus den hier geprüften Kategorien — Art. 4 und übriges Recht (DSGVO, Arbeitsrecht, Urheberrecht) weiter prüfen"))))))))))</f>
        <v/>
      </c>
      <c r="M41" s="11" t="str">
        <f aca="false">IF(K41="","",IF(LEFT(K41,10)="noch offen","noch offen",IF(K41="Kein Hochrisiko (Art. 6 Abs. 3)","Ja — Art. 49 Abs. 2 (Anbieter); Bewertung VOR Inverkehrbringen dokumentieren (Art. 6 Abs. 4)",IF(K41="Hochrisiko Anhang I Abschnitt B (Sektorrecht)","Nein — Art. 49 ist nach Art. 2 Abs. 2 n. F. nicht anwendbar",IF(K41="Hochrisiko Anhang I Abschnitt A","Nein — Art. 49 Abs. 1 gilt nur für Anhang III",IF(AND(LEFT(G41,1)="2",ISNUMBER(SEARCH("Anhang III",K41))),"Nein — Registrierung auf nationaler Ebene (Art. 49 Abs. 5)",IF(ISNUMBER(SEARCH("Anhang III",K41)),"Ja — Art. 49 Abs. 1 (Anbieter); Behörden als Betreiber: Art. 49 Abs. 3","Nein")))))))</f>
        <v/>
      </c>
      <c r="N41" s="11" t="str">
        <f aca="false">IF(A41="","",IF(K41="VERBOTEN (Art. 5)","entfällt — Einsatz unzulässig",IF(K41="Hochrisiko Anhang I Abschnitt B (Sektorrecht)","Nein — Art. 50 ist nach Art. 2 Abs. 2 n. F. nicht anwendbar",IF(AND(J41&lt;&gt;"",J41&lt;&gt;"keiner"),"Ja — Art. 50 gilt zusätzlich ab 02.08.2026","Nein"))))</f>
        <v/>
      </c>
      <c r="O41" s="7"/>
      <c r="P41" s="11" t="str">
        <f aca="false">IF(K41="","",IF(LEFT(K41,10)="noch offen","Prüfung unvollständig",IF(O41="Ja","Einstufung bestätigt",IF(O41="Nein","Juristische Prüfung erforderlich","Arbeitsannahme — nicht bestätigt"))))</f>
        <v/>
      </c>
      <c r="Q41" s="10"/>
      <c r="R41" s="12"/>
      <c r="S41" s="10"/>
      <c r="T41" s="10"/>
    </row>
    <row r="42" customFormat="false" ht="25.5" hidden="false" customHeight="true" outlineLevel="0" collapsed="false">
      <c r="A42" s="7"/>
      <c r="B42" s="11" t="str">
        <f aca="false">IF(A42="","",IFERROR(INDEX('01_KI-Inventar'!$B$6:$B$65,MATCH(A42,'01_KI-Inventar'!$A$6:$A$65,0)),""))</f>
        <v/>
      </c>
      <c r="C42" s="7"/>
      <c r="D42" s="7"/>
      <c r="E42" s="7"/>
      <c r="F42" s="10"/>
      <c r="G42" s="7"/>
      <c r="H42" s="7"/>
      <c r="I42" s="7"/>
      <c r="J42" s="7"/>
      <c r="K42" s="11" t="str">
        <f aca="false">IF(A42="","",IF(OR(C42="",D42="",G42="",J42="",COUNTIF(C42:D42,"Prüfung offen")&gt;0,COUNTIF(H42:I42,"Prüfung offen")&gt;0,AND(D42="Ja",OR(E42="",E42="noch offen")),AND(G42&lt;&gt;"keiner",OR(H42="",AND(H42&lt;&gt;"Ja",I42="")))),"noch offen — Angaben unvollständig",IF(C42="Ja","VERBOTEN (Art. 5)",IF(AND(D42="Ja",E42="Abschnitt B",G42&lt;&gt;"keiner"),"Hochrisiko Anhang I Abschnitt B UND Anhang III — gesondert prüfen",IF(AND(D42="Ja",E42="Abschnitt B"),"Hochrisiko Anhang I Abschnitt B (Sektorrecht)",IF(AND(D42="Ja",G42&lt;&gt;"keiner"),"Hochrisiko Anhang I Abschnitt A und Anhang III",IF(D42="Ja","Hochrisiko Anhang I Abschnitt A",IF(G42&lt;&gt;"keiner",IF(H42="Ja","Hochrisiko Anhang III",IF(I42="Ja","Kein Hochrisiko (Art. 6 Abs. 3)","Hochrisiko Anhang III")),IF(J42&lt;&gt;"keiner","Transparenzpflicht (Art. 50)","Geringes Risiko")))))))))</f>
        <v/>
      </c>
      <c r="L42" s="11" t="str">
        <f aca="false">IF(K42="","",IF(K42="VERBOTEN (Art. 5)","02.02.2025 (NCII/CSAM: 02.12.2026)",IF(LEFT(K42,10)="noch offen","keine Frist — Einstufung zuerst abschließen",IF(K42="Hochrisiko Anhang I Abschnitt B (Sektorrecht)","Kapitel III gilt nicht. Es gelten nur Art. 6 Abs. 1, Art. 60a und Art. 102–112 (Art. 2 Abs. 2 n. F.). Frist und Pflichten folgen aus dem Sektorrecht — bei Maschinen: Anhang III VO (EU) 2023/1230, delegierter Rechtsakt ab 02.08.2028.",IF(K42="Hochrisiko Anhang I Abschnitt B UND Anhang III — gesondert prüfen","Uneinheitlich: Für den Anhang-I-Teil gilt Art. 2 Abs. 2 n. F. (nur Art. 6 Abs. 1, 60a, 102–112), für den Anhang-III-Teil der 02.12.2027. Juristisch klären.",IF(K42="Hochrisiko Anhang I Abschnitt A und Anhang III","02.12.2027 (Anhang III) / 02.08.2028 (Anhang I Abschnitt A) — Planungsannahme",IF(K42="Hochrisiko Anhang I Abschnitt A","02.08.2028 — Planungsannahme; Vorbehalt delegierter Rechtsakte nach Art. 2 Abs. 13 n. F. (bis 02.08.2027)",IF(K42="Hochrisiko Anhang III","02.12.2027 — Planungsannahme",IF(K42="Transparenzpflicht (Art. 50)","02.08.2026",IF(K42="Kein Hochrisiko (Art. 6 Abs. 3)","Registrierung nach Art. 49 Abs. 2; Bewertung VOR Inverkehrbringen dokumentieren","keine besonderen Pflichten aus den hier geprüften Kategorien — Art. 4 und übriges Recht (DSGVO, Arbeitsrecht, Urheberrecht) weiter prüfen"))))))))))</f>
        <v/>
      </c>
      <c r="M42" s="11" t="str">
        <f aca="false">IF(K42="","",IF(LEFT(K42,10)="noch offen","noch offen",IF(K42="Kein Hochrisiko (Art. 6 Abs. 3)","Ja — Art. 49 Abs. 2 (Anbieter); Bewertung VOR Inverkehrbringen dokumentieren (Art. 6 Abs. 4)",IF(K42="Hochrisiko Anhang I Abschnitt B (Sektorrecht)","Nein — Art. 49 ist nach Art. 2 Abs. 2 n. F. nicht anwendbar",IF(K42="Hochrisiko Anhang I Abschnitt A","Nein — Art. 49 Abs. 1 gilt nur für Anhang III",IF(AND(LEFT(G42,1)="2",ISNUMBER(SEARCH("Anhang III",K42))),"Nein — Registrierung auf nationaler Ebene (Art. 49 Abs. 5)",IF(ISNUMBER(SEARCH("Anhang III",K42)),"Ja — Art. 49 Abs. 1 (Anbieter); Behörden als Betreiber: Art. 49 Abs. 3","Nein")))))))</f>
        <v/>
      </c>
      <c r="N42" s="11" t="str">
        <f aca="false">IF(A42="","",IF(K42="VERBOTEN (Art. 5)","entfällt — Einsatz unzulässig",IF(K42="Hochrisiko Anhang I Abschnitt B (Sektorrecht)","Nein — Art. 50 ist nach Art. 2 Abs. 2 n. F. nicht anwendbar",IF(AND(J42&lt;&gt;"",J42&lt;&gt;"keiner"),"Ja — Art. 50 gilt zusätzlich ab 02.08.2026","Nein"))))</f>
        <v/>
      </c>
      <c r="O42" s="7"/>
      <c r="P42" s="11" t="str">
        <f aca="false">IF(K42="","",IF(LEFT(K42,10)="noch offen","Prüfung unvollständig",IF(O42="Ja","Einstufung bestätigt",IF(O42="Nein","Juristische Prüfung erforderlich","Arbeitsannahme — nicht bestätigt"))))</f>
        <v/>
      </c>
      <c r="Q42" s="10"/>
      <c r="R42" s="12"/>
      <c r="S42" s="10"/>
      <c r="T42" s="10"/>
    </row>
    <row r="43" customFormat="false" ht="25.5" hidden="false" customHeight="true" outlineLevel="0" collapsed="false">
      <c r="A43" s="7"/>
      <c r="B43" s="11" t="str">
        <f aca="false">IF(A43="","",IFERROR(INDEX('01_KI-Inventar'!$B$6:$B$65,MATCH(A43,'01_KI-Inventar'!$A$6:$A$65,0)),""))</f>
        <v/>
      </c>
      <c r="C43" s="7"/>
      <c r="D43" s="7"/>
      <c r="E43" s="7"/>
      <c r="F43" s="10"/>
      <c r="G43" s="7"/>
      <c r="H43" s="7"/>
      <c r="I43" s="7"/>
      <c r="J43" s="7"/>
      <c r="K43" s="11" t="str">
        <f aca="false">IF(A43="","",IF(OR(C43="",D43="",G43="",J43="",COUNTIF(C43:D43,"Prüfung offen")&gt;0,COUNTIF(H43:I43,"Prüfung offen")&gt;0,AND(D43="Ja",OR(E43="",E43="noch offen")),AND(G43&lt;&gt;"keiner",OR(H43="",AND(H43&lt;&gt;"Ja",I43="")))),"noch offen — Angaben unvollständig",IF(C43="Ja","VERBOTEN (Art. 5)",IF(AND(D43="Ja",E43="Abschnitt B",G43&lt;&gt;"keiner"),"Hochrisiko Anhang I Abschnitt B UND Anhang III — gesondert prüfen",IF(AND(D43="Ja",E43="Abschnitt B"),"Hochrisiko Anhang I Abschnitt B (Sektorrecht)",IF(AND(D43="Ja",G43&lt;&gt;"keiner"),"Hochrisiko Anhang I Abschnitt A und Anhang III",IF(D43="Ja","Hochrisiko Anhang I Abschnitt A",IF(G43&lt;&gt;"keiner",IF(H43="Ja","Hochrisiko Anhang III",IF(I43="Ja","Kein Hochrisiko (Art. 6 Abs. 3)","Hochrisiko Anhang III")),IF(J43&lt;&gt;"keiner","Transparenzpflicht (Art. 50)","Geringes Risiko")))))))))</f>
        <v/>
      </c>
      <c r="L43" s="11" t="str">
        <f aca="false">IF(K43="","",IF(K43="VERBOTEN (Art. 5)","02.02.2025 (NCII/CSAM: 02.12.2026)",IF(LEFT(K43,10)="noch offen","keine Frist — Einstufung zuerst abschließen",IF(K43="Hochrisiko Anhang I Abschnitt B (Sektorrecht)","Kapitel III gilt nicht. Es gelten nur Art. 6 Abs. 1, Art. 60a und Art. 102–112 (Art. 2 Abs. 2 n. F.). Frist und Pflichten folgen aus dem Sektorrecht — bei Maschinen: Anhang III VO (EU) 2023/1230, delegierter Rechtsakt ab 02.08.2028.",IF(K43="Hochrisiko Anhang I Abschnitt B UND Anhang III — gesondert prüfen","Uneinheitlich: Für den Anhang-I-Teil gilt Art. 2 Abs. 2 n. F. (nur Art. 6 Abs. 1, 60a, 102–112), für den Anhang-III-Teil der 02.12.2027. Juristisch klären.",IF(K43="Hochrisiko Anhang I Abschnitt A und Anhang III","02.12.2027 (Anhang III) / 02.08.2028 (Anhang I Abschnitt A) — Planungsannahme",IF(K43="Hochrisiko Anhang I Abschnitt A","02.08.2028 — Planungsannahme; Vorbehalt delegierter Rechtsakte nach Art. 2 Abs. 13 n. F. (bis 02.08.2027)",IF(K43="Hochrisiko Anhang III","02.12.2027 — Planungsannahme",IF(K43="Transparenzpflicht (Art. 50)","02.08.2026",IF(K43="Kein Hochrisiko (Art. 6 Abs. 3)","Registrierung nach Art. 49 Abs. 2; Bewertung VOR Inverkehrbringen dokumentieren","keine besonderen Pflichten aus den hier geprüften Kategorien — Art. 4 und übriges Recht (DSGVO, Arbeitsrecht, Urheberrecht) weiter prüfen"))))))))))</f>
        <v/>
      </c>
      <c r="M43" s="11" t="str">
        <f aca="false">IF(K43="","",IF(LEFT(K43,10)="noch offen","noch offen",IF(K43="Kein Hochrisiko (Art. 6 Abs. 3)","Ja — Art. 49 Abs. 2 (Anbieter); Bewertung VOR Inverkehrbringen dokumentieren (Art. 6 Abs. 4)",IF(K43="Hochrisiko Anhang I Abschnitt B (Sektorrecht)","Nein — Art. 49 ist nach Art. 2 Abs. 2 n. F. nicht anwendbar",IF(K43="Hochrisiko Anhang I Abschnitt A","Nein — Art. 49 Abs. 1 gilt nur für Anhang III",IF(AND(LEFT(G43,1)="2",ISNUMBER(SEARCH("Anhang III",K43))),"Nein — Registrierung auf nationaler Ebene (Art. 49 Abs. 5)",IF(ISNUMBER(SEARCH("Anhang III",K43)),"Ja — Art. 49 Abs. 1 (Anbieter); Behörden als Betreiber: Art. 49 Abs. 3","Nein")))))))</f>
        <v/>
      </c>
      <c r="N43" s="11" t="str">
        <f aca="false">IF(A43="","",IF(K43="VERBOTEN (Art. 5)","entfällt — Einsatz unzulässig",IF(K43="Hochrisiko Anhang I Abschnitt B (Sektorrecht)","Nein — Art. 50 ist nach Art. 2 Abs. 2 n. F. nicht anwendbar",IF(AND(J43&lt;&gt;"",J43&lt;&gt;"keiner"),"Ja — Art. 50 gilt zusätzlich ab 02.08.2026","Nein"))))</f>
        <v/>
      </c>
      <c r="O43" s="7"/>
      <c r="P43" s="11" t="str">
        <f aca="false">IF(K43="","",IF(LEFT(K43,10)="noch offen","Prüfung unvollständig",IF(O43="Ja","Einstufung bestätigt",IF(O43="Nein","Juristische Prüfung erforderlich","Arbeitsannahme — nicht bestätigt"))))</f>
        <v/>
      </c>
      <c r="Q43" s="10"/>
      <c r="R43" s="12"/>
      <c r="S43" s="10"/>
      <c r="T43" s="10"/>
    </row>
    <row r="44" customFormat="false" ht="25.5" hidden="false" customHeight="true" outlineLevel="0" collapsed="false">
      <c r="A44" s="7"/>
      <c r="B44" s="11" t="str">
        <f aca="false">IF(A44="","",IFERROR(INDEX('01_KI-Inventar'!$B$6:$B$65,MATCH(A44,'01_KI-Inventar'!$A$6:$A$65,0)),""))</f>
        <v/>
      </c>
      <c r="C44" s="7"/>
      <c r="D44" s="7"/>
      <c r="E44" s="7"/>
      <c r="F44" s="10"/>
      <c r="G44" s="7"/>
      <c r="H44" s="7"/>
      <c r="I44" s="7"/>
      <c r="J44" s="7"/>
      <c r="K44" s="11" t="str">
        <f aca="false">IF(A44="","",IF(OR(C44="",D44="",G44="",J44="",COUNTIF(C44:D44,"Prüfung offen")&gt;0,COUNTIF(H44:I44,"Prüfung offen")&gt;0,AND(D44="Ja",OR(E44="",E44="noch offen")),AND(G44&lt;&gt;"keiner",OR(H44="",AND(H44&lt;&gt;"Ja",I44="")))),"noch offen — Angaben unvollständig",IF(C44="Ja","VERBOTEN (Art. 5)",IF(AND(D44="Ja",E44="Abschnitt B",G44&lt;&gt;"keiner"),"Hochrisiko Anhang I Abschnitt B UND Anhang III — gesondert prüfen",IF(AND(D44="Ja",E44="Abschnitt B"),"Hochrisiko Anhang I Abschnitt B (Sektorrecht)",IF(AND(D44="Ja",G44&lt;&gt;"keiner"),"Hochrisiko Anhang I Abschnitt A und Anhang III",IF(D44="Ja","Hochrisiko Anhang I Abschnitt A",IF(G44&lt;&gt;"keiner",IF(H44="Ja","Hochrisiko Anhang III",IF(I44="Ja","Kein Hochrisiko (Art. 6 Abs. 3)","Hochrisiko Anhang III")),IF(J44&lt;&gt;"keiner","Transparenzpflicht (Art. 50)","Geringes Risiko")))))))))</f>
        <v/>
      </c>
      <c r="L44" s="11" t="str">
        <f aca="false">IF(K44="","",IF(K44="VERBOTEN (Art. 5)","02.02.2025 (NCII/CSAM: 02.12.2026)",IF(LEFT(K44,10)="noch offen","keine Frist — Einstufung zuerst abschließen",IF(K44="Hochrisiko Anhang I Abschnitt B (Sektorrecht)","Kapitel III gilt nicht. Es gelten nur Art. 6 Abs. 1, Art. 60a und Art. 102–112 (Art. 2 Abs. 2 n. F.). Frist und Pflichten folgen aus dem Sektorrecht — bei Maschinen: Anhang III VO (EU) 2023/1230, delegierter Rechtsakt ab 02.08.2028.",IF(K44="Hochrisiko Anhang I Abschnitt B UND Anhang III — gesondert prüfen","Uneinheitlich: Für den Anhang-I-Teil gilt Art. 2 Abs. 2 n. F. (nur Art. 6 Abs. 1, 60a, 102–112), für den Anhang-III-Teil der 02.12.2027. Juristisch klären.",IF(K44="Hochrisiko Anhang I Abschnitt A und Anhang III","02.12.2027 (Anhang III) / 02.08.2028 (Anhang I Abschnitt A) — Planungsannahme",IF(K44="Hochrisiko Anhang I Abschnitt A","02.08.2028 — Planungsannahme; Vorbehalt delegierter Rechtsakte nach Art. 2 Abs. 13 n. F. (bis 02.08.2027)",IF(K44="Hochrisiko Anhang III","02.12.2027 — Planungsannahme",IF(K44="Transparenzpflicht (Art. 50)","02.08.2026",IF(K44="Kein Hochrisiko (Art. 6 Abs. 3)","Registrierung nach Art. 49 Abs. 2; Bewertung VOR Inverkehrbringen dokumentieren","keine besonderen Pflichten aus den hier geprüften Kategorien — Art. 4 und übriges Recht (DSGVO, Arbeitsrecht, Urheberrecht) weiter prüfen"))))))))))</f>
        <v/>
      </c>
      <c r="M44" s="11" t="str">
        <f aca="false">IF(K44="","",IF(LEFT(K44,10)="noch offen","noch offen",IF(K44="Kein Hochrisiko (Art. 6 Abs. 3)","Ja — Art. 49 Abs. 2 (Anbieter); Bewertung VOR Inverkehrbringen dokumentieren (Art. 6 Abs. 4)",IF(K44="Hochrisiko Anhang I Abschnitt B (Sektorrecht)","Nein — Art. 49 ist nach Art. 2 Abs. 2 n. F. nicht anwendbar",IF(K44="Hochrisiko Anhang I Abschnitt A","Nein — Art. 49 Abs. 1 gilt nur für Anhang III",IF(AND(LEFT(G44,1)="2",ISNUMBER(SEARCH("Anhang III",K44))),"Nein — Registrierung auf nationaler Ebene (Art. 49 Abs. 5)",IF(ISNUMBER(SEARCH("Anhang III",K44)),"Ja — Art. 49 Abs. 1 (Anbieter); Behörden als Betreiber: Art. 49 Abs. 3","Nein")))))))</f>
        <v/>
      </c>
      <c r="N44" s="11" t="str">
        <f aca="false">IF(A44="","",IF(K44="VERBOTEN (Art. 5)","entfällt — Einsatz unzulässig",IF(K44="Hochrisiko Anhang I Abschnitt B (Sektorrecht)","Nein — Art. 50 ist nach Art. 2 Abs. 2 n. F. nicht anwendbar",IF(AND(J44&lt;&gt;"",J44&lt;&gt;"keiner"),"Ja — Art. 50 gilt zusätzlich ab 02.08.2026","Nein"))))</f>
        <v/>
      </c>
      <c r="O44" s="7"/>
      <c r="P44" s="11" t="str">
        <f aca="false">IF(K44="","",IF(LEFT(K44,10)="noch offen","Prüfung unvollständig",IF(O44="Ja","Einstufung bestätigt",IF(O44="Nein","Juristische Prüfung erforderlich","Arbeitsannahme — nicht bestätigt"))))</f>
        <v/>
      </c>
      <c r="Q44" s="10"/>
      <c r="R44" s="12"/>
      <c r="S44" s="10"/>
      <c r="T44" s="10"/>
    </row>
    <row r="45" customFormat="false" ht="25.5" hidden="false" customHeight="true" outlineLevel="0" collapsed="false">
      <c r="A45" s="7"/>
      <c r="B45" s="11" t="str">
        <f aca="false">IF(A45="","",IFERROR(INDEX('01_KI-Inventar'!$B$6:$B$65,MATCH(A45,'01_KI-Inventar'!$A$6:$A$65,0)),""))</f>
        <v/>
      </c>
      <c r="C45" s="7"/>
      <c r="D45" s="7"/>
      <c r="E45" s="7"/>
      <c r="F45" s="10"/>
      <c r="G45" s="7"/>
      <c r="H45" s="7"/>
      <c r="I45" s="7"/>
      <c r="J45" s="7"/>
      <c r="K45" s="11" t="str">
        <f aca="false">IF(A45="","",IF(OR(C45="",D45="",G45="",J45="",COUNTIF(C45:D45,"Prüfung offen")&gt;0,COUNTIF(H45:I45,"Prüfung offen")&gt;0,AND(D45="Ja",OR(E45="",E45="noch offen")),AND(G45&lt;&gt;"keiner",OR(H45="",AND(H45&lt;&gt;"Ja",I45="")))),"noch offen — Angaben unvollständig",IF(C45="Ja","VERBOTEN (Art. 5)",IF(AND(D45="Ja",E45="Abschnitt B",G45&lt;&gt;"keiner"),"Hochrisiko Anhang I Abschnitt B UND Anhang III — gesondert prüfen",IF(AND(D45="Ja",E45="Abschnitt B"),"Hochrisiko Anhang I Abschnitt B (Sektorrecht)",IF(AND(D45="Ja",G45&lt;&gt;"keiner"),"Hochrisiko Anhang I Abschnitt A und Anhang III",IF(D45="Ja","Hochrisiko Anhang I Abschnitt A",IF(G45&lt;&gt;"keiner",IF(H45="Ja","Hochrisiko Anhang III",IF(I45="Ja","Kein Hochrisiko (Art. 6 Abs. 3)","Hochrisiko Anhang III")),IF(J45&lt;&gt;"keiner","Transparenzpflicht (Art. 50)","Geringes Risiko")))))))))</f>
        <v/>
      </c>
      <c r="L45" s="11" t="str">
        <f aca="false">IF(K45="","",IF(K45="VERBOTEN (Art. 5)","02.02.2025 (NCII/CSAM: 02.12.2026)",IF(LEFT(K45,10)="noch offen","keine Frist — Einstufung zuerst abschließen",IF(K45="Hochrisiko Anhang I Abschnitt B (Sektorrecht)","Kapitel III gilt nicht. Es gelten nur Art. 6 Abs. 1, Art. 60a und Art. 102–112 (Art. 2 Abs. 2 n. F.). Frist und Pflichten folgen aus dem Sektorrecht — bei Maschinen: Anhang III VO (EU) 2023/1230, delegierter Rechtsakt ab 02.08.2028.",IF(K45="Hochrisiko Anhang I Abschnitt B UND Anhang III — gesondert prüfen","Uneinheitlich: Für den Anhang-I-Teil gilt Art. 2 Abs. 2 n. F. (nur Art. 6 Abs. 1, 60a, 102–112), für den Anhang-III-Teil der 02.12.2027. Juristisch klären.",IF(K45="Hochrisiko Anhang I Abschnitt A und Anhang III","02.12.2027 (Anhang III) / 02.08.2028 (Anhang I Abschnitt A) — Planungsannahme",IF(K45="Hochrisiko Anhang I Abschnitt A","02.08.2028 — Planungsannahme; Vorbehalt delegierter Rechtsakte nach Art. 2 Abs. 13 n. F. (bis 02.08.2027)",IF(K45="Hochrisiko Anhang III","02.12.2027 — Planungsannahme",IF(K45="Transparenzpflicht (Art. 50)","02.08.2026",IF(K45="Kein Hochrisiko (Art. 6 Abs. 3)","Registrierung nach Art. 49 Abs. 2; Bewertung VOR Inverkehrbringen dokumentieren","keine besonderen Pflichten aus den hier geprüften Kategorien — Art. 4 und übriges Recht (DSGVO, Arbeitsrecht, Urheberrecht) weiter prüfen"))))))))))</f>
        <v/>
      </c>
      <c r="M45" s="11" t="str">
        <f aca="false">IF(K45="","",IF(LEFT(K45,10)="noch offen","noch offen",IF(K45="Kein Hochrisiko (Art. 6 Abs. 3)","Ja — Art. 49 Abs. 2 (Anbieter); Bewertung VOR Inverkehrbringen dokumentieren (Art. 6 Abs. 4)",IF(K45="Hochrisiko Anhang I Abschnitt B (Sektorrecht)","Nein — Art. 49 ist nach Art. 2 Abs. 2 n. F. nicht anwendbar",IF(K45="Hochrisiko Anhang I Abschnitt A","Nein — Art. 49 Abs. 1 gilt nur für Anhang III",IF(AND(LEFT(G45,1)="2",ISNUMBER(SEARCH("Anhang III",K45))),"Nein — Registrierung auf nationaler Ebene (Art. 49 Abs. 5)",IF(ISNUMBER(SEARCH("Anhang III",K45)),"Ja — Art. 49 Abs. 1 (Anbieter); Behörden als Betreiber: Art. 49 Abs. 3","Nein")))))))</f>
        <v/>
      </c>
      <c r="N45" s="11" t="str">
        <f aca="false">IF(A45="","",IF(K45="VERBOTEN (Art. 5)","entfällt — Einsatz unzulässig",IF(K45="Hochrisiko Anhang I Abschnitt B (Sektorrecht)","Nein — Art. 50 ist nach Art. 2 Abs. 2 n. F. nicht anwendbar",IF(AND(J45&lt;&gt;"",J45&lt;&gt;"keiner"),"Ja — Art. 50 gilt zusätzlich ab 02.08.2026","Nein"))))</f>
        <v/>
      </c>
      <c r="O45" s="7"/>
      <c r="P45" s="11" t="str">
        <f aca="false">IF(K45="","",IF(LEFT(K45,10)="noch offen","Prüfung unvollständig",IF(O45="Ja","Einstufung bestätigt",IF(O45="Nein","Juristische Prüfung erforderlich","Arbeitsannahme — nicht bestätigt"))))</f>
        <v/>
      </c>
      <c r="Q45" s="10"/>
      <c r="R45" s="12"/>
      <c r="S45" s="10"/>
      <c r="T45" s="10"/>
    </row>
    <row r="46" customFormat="false" ht="25.5" hidden="false" customHeight="true" outlineLevel="0" collapsed="false">
      <c r="A46" s="7"/>
      <c r="B46" s="11" t="str">
        <f aca="false">IF(A46="","",IFERROR(INDEX('01_KI-Inventar'!$B$6:$B$65,MATCH(A46,'01_KI-Inventar'!$A$6:$A$65,0)),""))</f>
        <v/>
      </c>
      <c r="C46" s="7"/>
      <c r="D46" s="7"/>
      <c r="E46" s="7"/>
      <c r="F46" s="10"/>
      <c r="G46" s="7"/>
      <c r="H46" s="7"/>
      <c r="I46" s="7"/>
      <c r="J46" s="7"/>
      <c r="K46" s="11" t="str">
        <f aca="false">IF(A46="","",IF(OR(C46="",D46="",G46="",J46="",COUNTIF(C46:D46,"Prüfung offen")&gt;0,COUNTIF(H46:I46,"Prüfung offen")&gt;0,AND(D46="Ja",OR(E46="",E46="noch offen")),AND(G46&lt;&gt;"keiner",OR(H46="",AND(H46&lt;&gt;"Ja",I46="")))),"noch offen — Angaben unvollständig",IF(C46="Ja","VERBOTEN (Art. 5)",IF(AND(D46="Ja",E46="Abschnitt B",G46&lt;&gt;"keiner"),"Hochrisiko Anhang I Abschnitt B UND Anhang III — gesondert prüfen",IF(AND(D46="Ja",E46="Abschnitt B"),"Hochrisiko Anhang I Abschnitt B (Sektorrecht)",IF(AND(D46="Ja",G46&lt;&gt;"keiner"),"Hochrisiko Anhang I Abschnitt A und Anhang III",IF(D46="Ja","Hochrisiko Anhang I Abschnitt A",IF(G46&lt;&gt;"keiner",IF(H46="Ja","Hochrisiko Anhang III",IF(I46="Ja","Kein Hochrisiko (Art. 6 Abs. 3)","Hochrisiko Anhang III")),IF(J46&lt;&gt;"keiner","Transparenzpflicht (Art. 50)","Geringes Risiko")))))))))</f>
        <v/>
      </c>
      <c r="L46" s="11" t="str">
        <f aca="false">IF(K46="","",IF(K46="VERBOTEN (Art. 5)","02.02.2025 (NCII/CSAM: 02.12.2026)",IF(LEFT(K46,10)="noch offen","keine Frist — Einstufung zuerst abschließen",IF(K46="Hochrisiko Anhang I Abschnitt B (Sektorrecht)","Kapitel III gilt nicht. Es gelten nur Art. 6 Abs. 1, Art. 60a und Art. 102–112 (Art. 2 Abs. 2 n. F.). Frist und Pflichten folgen aus dem Sektorrecht — bei Maschinen: Anhang III VO (EU) 2023/1230, delegierter Rechtsakt ab 02.08.2028.",IF(K46="Hochrisiko Anhang I Abschnitt B UND Anhang III — gesondert prüfen","Uneinheitlich: Für den Anhang-I-Teil gilt Art. 2 Abs. 2 n. F. (nur Art. 6 Abs. 1, 60a, 102–112), für den Anhang-III-Teil der 02.12.2027. Juristisch klären.",IF(K46="Hochrisiko Anhang I Abschnitt A und Anhang III","02.12.2027 (Anhang III) / 02.08.2028 (Anhang I Abschnitt A) — Planungsannahme",IF(K46="Hochrisiko Anhang I Abschnitt A","02.08.2028 — Planungsannahme; Vorbehalt delegierter Rechtsakte nach Art. 2 Abs. 13 n. F. (bis 02.08.2027)",IF(K46="Hochrisiko Anhang III","02.12.2027 — Planungsannahme",IF(K46="Transparenzpflicht (Art. 50)","02.08.2026",IF(K46="Kein Hochrisiko (Art. 6 Abs. 3)","Registrierung nach Art. 49 Abs. 2; Bewertung VOR Inverkehrbringen dokumentieren","keine besonderen Pflichten aus den hier geprüften Kategorien — Art. 4 und übriges Recht (DSGVO, Arbeitsrecht, Urheberrecht) weiter prüfen"))))))))))</f>
        <v/>
      </c>
      <c r="M46" s="11" t="str">
        <f aca="false">IF(K46="","",IF(LEFT(K46,10)="noch offen","noch offen",IF(K46="Kein Hochrisiko (Art. 6 Abs. 3)","Ja — Art. 49 Abs. 2 (Anbieter); Bewertung VOR Inverkehrbringen dokumentieren (Art. 6 Abs. 4)",IF(K46="Hochrisiko Anhang I Abschnitt B (Sektorrecht)","Nein — Art. 49 ist nach Art. 2 Abs. 2 n. F. nicht anwendbar",IF(K46="Hochrisiko Anhang I Abschnitt A","Nein — Art. 49 Abs. 1 gilt nur für Anhang III",IF(AND(LEFT(G46,1)="2",ISNUMBER(SEARCH("Anhang III",K46))),"Nein — Registrierung auf nationaler Ebene (Art. 49 Abs. 5)",IF(ISNUMBER(SEARCH("Anhang III",K46)),"Ja — Art. 49 Abs. 1 (Anbieter); Behörden als Betreiber: Art. 49 Abs. 3","Nein")))))))</f>
        <v/>
      </c>
      <c r="N46" s="11" t="str">
        <f aca="false">IF(A46="","",IF(K46="VERBOTEN (Art. 5)","entfällt — Einsatz unzulässig",IF(K46="Hochrisiko Anhang I Abschnitt B (Sektorrecht)","Nein — Art. 50 ist nach Art. 2 Abs. 2 n. F. nicht anwendbar",IF(AND(J46&lt;&gt;"",J46&lt;&gt;"keiner"),"Ja — Art. 50 gilt zusätzlich ab 02.08.2026","Nein"))))</f>
        <v/>
      </c>
      <c r="O46" s="7"/>
      <c r="P46" s="11" t="str">
        <f aca="false">IF(K46="","",IF(LEFT(K46,10)="noch offen","Prüfung unvollständig",IF(O46="Ja","Einstufung bestätigt",IF(O46="Nein","Juristische Prüfung erforderlich","Arbeitsannahme — nicht bestätigt"))))</f>
        <v/>
      </c>
      <c r="Q46" s="10"/>
      <c r="R46" s="12"/>
      <c r="S46" s="10"/>
      <c r="T46" s="10"/>
    </row>
    <row r="47" customFormat="false" ht="25.5" hidden="false" customHeight="true" outlineLevel="0" collapsed="false">
      <c r="A47" s="7"/>
      <c r="B47" s="11" t="str">
        <f aca="false">IF(A47="","",IFERROR(INDEX('01_KI-Inventar'!$B$6:$B$65,MATCH(A47,'01_KI-Inventar'!$A$6:$A$65,0)),""))</f>
        <v/>
      </c>
      <c r="C47" s="7"/>
      <c r="D47" s="7"/>
      <c r="E47" s="7"/>
      <c r="F47" s="10"/>
      <c r="G47" s="7"/>
      <c r="H47" s="7"/>
      <c r="I47" s="7"/>
      <c r="J47" s="7"/>
      <c r="K47" s="11" t="str">
        <f aca="false">IF(A47="","",IF(OR(C47="",D47="",G47="",J47="",COUNTIF(C47:D47,"Prüfung offen")&gt;0,COUNTIF(H47:I47,"Prüfung offen")&gt;0,AND(D47="Ja",OR(E47="",E47="noch offen")),AND(G47&lt;&gt;"keiner",OR(H47="",AND(H47&lt;&gt;"Ja",I47="")))),"noch offen — Angaben unvollständig",IF(C47="Ja","VERBOTEN (Art. 5)",IF(AND(D47="Ja",E47="Abschnitt B",G47&lt;&gt;"keiner"),"Hochrisiko Anhang I Abschnitt B UND Anhang III — gesondert prüfen",IF(AND(D47="Ja",E47="Abschnitt B"),"Hochrisiko Anhang I Abschnitt B (Sektorrecht)",IF(AND(D47="Ja",G47&lt;&gt;"keiner"),"Hochrisiko Anhang I Abschnitt A und Anhang III",IF(D47="Ja","Hochrisiko Anhang I Abschnitt A",IF(G47&lt;&gt;"keiner",IF(H47="Ja","Hochrisiko Anhang III",IF(I47="Ja","Kein Hochrisiko (Art. 6 Abs. 3)","Hochrisiko Anhang III")),IF(J47&lt;&gt;"keiner","Transparenzpflicht (Art. 50)","Geringes Risiko")))))))))</f>
        <v/>
      </c>
      <c r="L47" s="11" t="str">
        <f aca="false">IF(K47="","",IF(K47="VERBOTEN (Art. 5)","02.02.2025 (NCII/CSAM: 02.12.2026)",IF(LEFT(K47,10)="noch offen","keine Frist — Einstufung zuerst abschließen",IF(K47="Hochrisiko Anhang I Abschnitt B (Sektorrecht)","Kapitel III gilt nicht. Es gelten nur Art. 6 Abs. 1, Art. 60a und Art. 102–112 (Art. 2 Abs. 2 n. F.). Frist und Pflichten folgen aus dem Sektorrecht — bei Maschinen: Anhang III VO (EU) 2023/1230, delegierter Rechtsakt ab 02.08.2028.",IF(K47="Hochrisiko Anhang I Abschnitt B UND Anhang III — gesondert prüfen","Uneinheitlich: Für den Anhang-I-Teil gilt Art. 2 Abs. 2 n. F. (nur Art. 6 Abs. 1, 60a, 102–112), für den Anhang-III-Teil der 02.12.2027. Juristisch klären.",IF(K47="Hochrisiko Anhang I Abschnitt A und Anhang III","02.12.2027 (Anhang III) / 02.08.2028 (Anhang I Abschnitt A) — Planungsannahme",IF(K47="Hochrisiko Anhang I Abschnitt A","02.08.2028 — Planungsannahme; Vorbehalt delegierter Rechtsakte nach Art. 2 Abs. 13 n. F. (bis 02.08.2027)",IF(K47="Hochrisiko Anhang III","02.12.2027 — Planungsannahme",IF(K47="Transparenzpflicht (Art. 50)","02.08.2026",IF(K47="Kein Hochrisiko (Art. 6 Abs. 3)","Registrierung nach Art. 49 Abs. 2; Bewertung VOR Inverkehrbringen dokumentieren","keine besonderen Pflichten aus den hier geprüften Kategorien — Art. 4 und übriges Recht (DSGVO, Arbeitsrecht, Urheberrecht) weiter prüfen"))))))))))</f>
        <v/>
      </c>
      <c r="M47" s="11" t="str">
        <f aca="false">IF(K47="","",IF(LEFT(K47,10)="noch offen","noch offen",IF(K47="Kein Hochrisiko (Art. 6 Abs. 3)","Ja — Art. 49 Abs. 2 (Anbieter); Bewertung VOR Inverkehrbringen dokumentieren (Art. 6 Abs. 4)",IF(K47="Hochrisiko Anhang I Abschnitt B (Sektorrecht)","Nein — Art. 49 ist nach Art. 2 Abs. 2 n. F. nicht anwendbar",IF(K47="Hochrisiko Anhang I Abschnitt A","Nein — Art. 49 Abs. 1 gilt nur für Anhang III",IF(AND(LEFT(G47,1)="2",ISNUMBER(SEARCH("Anhang III",K47))),"Nein — Registrierung auf nationaler Ebene (Art. 49 Abs. 5)",IF(ISNUMBER(SEARCH("Anhang III",K47)),"Ja — Art. 49 Abs. 1 (Anbieter); Behörden als Betreiber: Art. 49 Abs. 3","Nein")))))))</f>
        <v/>
      </c>
      <c r="N47" s="11" t="str">
        <f aca="false">IF(A47="","",IF(K47="VERBOTEN (Art. 5)","entfällt — Einsatz unzulässig",IF(K47="Hochrisiko Anhang I Abschnitt B (Sektorrecht)","Nein — Art. 50 ist nach Art. 2 Abs. 2 n. F. nicht anwendbar",IF(AND(J47&lt;&gt;"",J47&lt;&gt;"keiner"),"Ja — Art. 50 gilt zusätzlich ab 02.08.2026","Nein"))))</f>
        <v/>
      </c>
      <c r="O47" s="7"/>
      <c r="P47" s="11" t="str">
        <f aca="false">IF(K47="","",IF(LEFT(K47,10)="noch offen","Prüfung unvollständig",IF(O47="Ja","Einstufung bestätigt",IF(O47="Nein","Juristische Prüfung erforderlich","Arbeitsannahme — nicht bestätigt"))))</f>
        <v/>
      </c>
      <c r="Q47" s="10"/>
      <c r="R47" s="12"/>
      <c r="S47" s="10"/>
      <c r="T47" s="10"/>
    </row>
    <row r="48" customFormat="false" ht="25.5" hidden="false" customHeight="true" outlineLevel="0" collapsed="false">
      <c r="A48" s="7"/>
      <c r="B48" s="11" t="str">
        <f aca="false">IF(A48="","",IFERROR(INDEX('01_KI-Inventar'!$B$6:$B$65,MATCH(A48,'01_KI-Inventar'!$A$6:$A$65,0)),""))</f>
        <v/>
      </c>
      <c r="C48" s="7"/>
      <c r="D48" s="7"/>
      <c r="E48" s="7"/>
      <c r="F48" s="10"/>
      <c r="G48" s="7"/>
      <c r="H48" s="7"/>
      <c r="I48" s="7"/>
      <c r="J48" s="7"/>
      <c r="K48" s="11" t="str">
        <f aca="false">IF(A48="","",IF(OR(C48="",D48="",G48="",J48="",COUNTIF(C48:D48,"Prüfung offen")&gt;0,COUNTIF(H48:I48,"Prüfung offen")&gt;0,AND(D48="Ja",OR(E48="",E48="noch offen")),AND(G48&lt;&gt;"keiner",OR(H48="",AND(H48&lt;&gt;"Ja",I48="")))),"noch offen — Angaben unvollständig",IF(C48="Ja","VERBOTEN (Art. 5)",IF(AND(D48="Ja",E48="Abschnitt B",G48&lt;&gt;"keiner"),"Hochrisiko Anhang I Abschnitt B UND Anhang III — gesondert prüfen",IF(AND(D48="Ja",E48="Abschnitt B"),"Hochrisiko Anhang I Abschnitt B (Sektorrecht)",IF(AND(D48="Ja",G48&lt;&gt;"keiner"),"Hochrisiko Anhang I Abschnitt A und Anhang III",IF(D48="Ja","Hochrisiko Anhang I Abschnitt A",IF(G48&lt;&gt;"keiner",IF(H48="Ja","Hochrisiko Anhang III",IF(I48="Ja","Kein Hochrisiko (Art. 6 Abs. 3)","Hochrisiko Anhang III")),IF(J48&lt;&gt;"keiner","Transparenzpflicht (Art. 50)","Geringes Risiko")))))))))</f>
        <v/>
      </c>
      <c r="L48" s="11" t="str">
        <f aca="false">IF(K48="","",IF(K48="VERBOTEN (Art. 5)","02.02.2025 (NCII/CSAM: 02.12.2026)",IF(LEFT(K48,10)="noch offen","keine Frist — Einstufung zuerst abschließen",IF(K48="Hochrisiko Anhang I Abschnitt B (Sektorrecht)","Kapitel III gilt nicht. Es gelten nur Art. 6 Abs. 1, Art. 60a und Art. 102–112 (Art. 2 Abs. 2 n. F.). Frist und Pflichten folgen aus dem Sektorrecht — bei Maschinen: Anhang III VO (EU) 2023/1230, delegierter Rechtsakt ab 02.08.2028.",IF(K48="Hochrisiko Anhang I Abschnitt B UND Anhang III — gesondert prüfen","Uneinheitlich: Für den Anhang-I-Teil gilt Art. 2 Abs. 2 n. F. (nur Art. 6 Abs. 1, 60a, 102–112), für den Anhang-III-Teil der 02.12.2027. Juristisch klären.",IF(K48="Hochrisiko Anhang I Abschnitt A und Anhang III","02.12.2027 (Anhang III) / 02.08.2028 (Anhang I Abschnitt A) — Planungsannahme",IF(K48="Hochrisiko Anhang I Abschnitt A","02.08.2028 — Planungsannahme; Vorbehalt delegierter Rechtsakte nach Art. 2 Abs. 13 n. F. (bis 02.08.2027)",IF(K48="Hochrisiko Anhang III","02.12.2027 — Planungsannahme",IF(K48="Transparenzpflicht (Art. 50)","02.08.2026",IF(K48="Kein Hochrisiko (Art. 6 Abs. 3)","Registrierung nach Art. 49 Abs. 2; Bewertung VOR Inverkehrbringen dokumentieren","keine besonderen Pflichten aus den hier geprüften Kategorien — Art. 4 und übriges Recht (DSGVO, Arbeitsrecht, Urheberrecht) weiter prüfen"))))))))))</f>
        <v/>
      </c>
      <c r="M48" s="11" t="str">
        <f aca="false">IF(K48="","",IF(LEFT(K48,10)="noch offen","noch offen",IF(K48="Kein Hochrisiko (Art. 6 Abs. 3)","Ja — Art. 49 Abs. 2 (Anbieter); Bewertung VOR Inverkehrbringen dokumentieren (Art. 6 Abs. 4)",IF(K48="Hochrisiko Anhang I Abschnitt B (Sektorrecht)","Nein — Art. 49 ist nach Art. 2 Abs. 2 n. F. nicht anwendbar",IF(K48="Hochrisiko Anhang I Abschnitt A","Nein — Art. 49 Abs. 1 gilt nur für Anhang III",IF(AND(LEFT(G48,1)="2",ISNUMBER(SEARCH("Anhang III",K48))),"Nein — Registrierung auf nationaler Ebene (Art. 49 Abs. 5)",IF(ISNUMBER(SEARCH("Anhang III",K48)),"Ja — Art. 49 Abs. 1 (Anbieter); Behörden als Betreiber: Art. 49 Abs. 3","Nein")))))))</f>
        <v/>
      </c>
      <c r="N48" s="11" t="str">
        <f aca="false">IF(A48="","",IF(K48="VERBOTEN (Art. 5)","entfällt — Einsatz unzulässig",IF(K48="Hochrisiko Anhang I Abschnitt B (Sektorrecht)","Nein — Art. 50 ist nach Art. 2 Abs. 2 n. F. nicht anwendbar",IF(AND(J48&lt;&gt;"",J48&lt;&gt;"keiner"),"Ja — Art. 50 gilt zusätzlich ab 02.08.2026","Nein"))))</f>
        <v/>
      </c>
      <c r="O48" s="7"/>
      <c r="P48" s="11" t="str">
        <f aca="false">IF(K48="","",IF(LEFT(K48,10)="noch offen","Prüfung unvollständig",IF(O48="Ja","Einstufung bestätigt",IF(O48="Nein","Juristische Prüfung erforderlich","Arbeitsannahme — nicht bestätigt"))))</f>
        <v/>
      </c>
      <c r="Q48" s="10"/>
      <c r="R48" s="12"/>
      <c r="S48" s="10"/>
      <c r="T48" s="10"/>
    </row>
    <row r="49" customFormat="false" ht="25.5" hidden="false" customHeight="true" outlineLevel="0" collapsed="false">
      <c r="A49" s="7"/>
      <c r="B49" s="11" t="str">
        <f aca="false">IF(A49="","",IFERROR(INDEX('01_KI-Inventar'!$B$6:$B$65,MATCH(A49,'01_KI-Inventar'!$A$6:$A$65,0)),""))</f>
        <v/>
      </c>
      <c r="C49" s="7"/>
      <c r="D49" s="7"/>
      <c r="E49" s="7"/>
      <c r="F49" s="10"/>
      <c r="G49" s="7"/>
      <c r="H49" s="7"/>
      <c r="I49" s="7"/>
      <c r="J49" s="7"/>
      <c r="K49" s="11" t="str">
        <f aca="false">IF(A49="","",IF(OR(C49="",D49="",G49="",J49="",COUNTIF(C49:D49,"Prüfung offen")&gt;0,COUNTIF(H49:I49,"Prüfung offen")&gt;0,AND(D49="Ja",OR(E49="",E49="noch offen")),AND(G49&lt;&gt;"keiner",OR(H49="",AND(H49&lt;&gt;"Ja",I49="")))),"noch offen — Angaben unvollständig",IF(C49="Ja","VERBOTEN (Art. 5)",IF(AND(D49="Ja",E49="Abschnitt B",G49&lt;&gt;"keiner"),"Hochrisiko Anhang I Abschnitt B UND Anhang III — gesondert prüfen",IF(AND(D49="Ja",E49="Abschnitt B"),"Hochrisiko Anhang I Abschnitt B (Sektorrecht)",IF(AND(D49="Ja",G49&lt;&gt;"keiner"),"Hochrisiko Anhang I Abschnitt A und Anhang III",IF(D49="Ja","Hochrisiko Anhang I Abschnitt A",IF(G49&lt;&gt;"keiner",IF(H49="Ja","Hochrisiko Anhang III",IF(I49="Ja","Kein Hochrisiko (Art. 6 Abs. 3)","Hochrisiko Anhang III")),IF(J49&lt;&gt;"keiner","Transparenzpflicht (Art. 50)","Geringes Risiko")))))))))</f>
        <v/>
      </c>
      <c r="L49" s="11" t="str">
        <f aca="false">IF(K49="","",IF(K49="VERBOTEN (Art. 5)","02.02.2025 (NCII/CSAM: 02.12.2026)",IF(LEFT(K49,10)="noch offen","keine Frist — Einstufung zuerst abschließen",IF(K49="Hochrisiko Anhang I Abschnitt B (Sektorrecht)","Kapitel III gilt nicht. Es gelten nur Art. 6 Abs. 1, Art. 60a und Art. 102–112 (Art. 2 Abs. 2 n. F.). Frist und Pflichten folgen aus dem Sektorrecht — bei Maschinen: Anhang III VO (EU) 2023/1230, delegierter Rechtsakt ab 02.08.2028.",IF(K49="Hochrisiko Anhang I Abschnitt B UND Anhang III — gesondert prüfen","Uneinheitlich: Für den Anhang-I-Teil gilt Art. 2 Abs. 2 n. F. (nur Art. 6 Abs. 1, 60a, 102–112), für den Anhang-III-Teil der 02.12.2027. Juristisch klären.",IF(K49="Hochrisiko Anhang I Abschnitt A und Anhang III","02.12.2027 (Anhang III) / 02.08.2028 (Anhang I Abschnitt A) — Planungsannahme",IF(K49="Hochrisiko Anhang I Abschnitt A","02.08.2028 — Planungsannahme; Vorbehalt delegierter Rechtsakte nach Art. 2 Abs. 13 n. F. (bis 02.08.2027)",IF(K49="Hochrisiko Anhang III","02.12.2027 — Planungsannahme",IF(K49="Transparenzpflicht (Art. 50)","02.08.2026",IF(K49="Kein Hochrisiko (Art. 6 Abs. 3)","Registrierung nach Art. 49 Abs. 2; Bewertung VOR Inverkehrbringen dokumentieren","keine besonderen Pflichten aus den hier geprüften Kategorien — Art. 4 und übriges Recht (DSGVO, Arbeitsrecht, Urheberrecht) weiter prüfen"))))))))))</f>
        <v/>
      </c>
      <c r="M49" s="11" t="str">
        <f aca="false">IF(K49="","",IF(LEFT(K49,10)="noch offen","noch offen",IF(K49="Kein Hochrisiko (Art. 6 Abs. 3)","Ja — Art. 49 Abs. 2 (Anbieter); Bewertung VOR Inverkehrbringen dokumentieren (Art. 6 Abs. 4)",IF(K49="Hochrisiko Anhang I Abschnitt B (Sektorrecht)","Nein — Art. 49 ist nach Art. 2 Abs. 2 n. F. nicht anwendbar",IF(K49="Hochrisiko Anhang I Abschnitt A","Nein — Art. 49 Abs. 1 gilt nur für Anhang III",IF(AND(LEFT(G49,1)="2",ISNUMBER(SEARCH("Anhang III",K49))),"Nein — Registrierung auf nationaler Ebene (Art. 49 Abs. 5)",IF(ISNUMBER(SEARCH("Anhang III",K49)),"Ja — Art. 49 Abs. 1 (Anbieter); Behörden als Betreiber: Art. 49 Abs. 3","Nein")))))))</f>
        <v/>
      </c>
      <c r="N49" s="11" t="str">
        <f aca="false">IF(A49="","",IF(K49="VERBOTEN (Art. 5)","entfällt — Einsatz unzulässig",IF(K49="Hochrisiko Anhang I Abschnitt B (Sektorrecht)","Nein — Art. 50 ist nach Art. 2 Abs. 2 n. F. nicht anwendbar",IF(AND(J49&lt;&gt;"",J49&lt;&gt;"keiner"),"Ja — Art. 50 gilt zusätzlich ab 02.08.2026","Nein"))))</f>
        <v/>
      </c>
      <c r="O49" s="7"/>
      <c r="P49" s="11" t="str">
        <f aca="false">IF(K49="","",IF(LEFT(K49,10)="noch offen","Prüfung unvollständig",IF(O49="Ja","Einstufung bestätigt",IF(O49="Nein","Juristische Prüfung erforderlich","Arbeitsannahme — nicht bestätigt"))))</f>
        <v/>
      </c>
      <c r="Q49" s="10"/>
      <c r="R49" s="12"/>
      <c r="S49" s="10"/>
      <c r="T49" s="10"/>
    </row>
    <row r="50" customFormat="false" ht="25.5" hidden="false" customHeight="true" outlineLevel="0" collapsed="false">
      <c r="A50" s="7"/>
      <c r="B50" s="11" t="str">
        <f aca="false">IF(A50="","",IFERROR(INDEX('01_KI-Inventar'!$B$6:$B$65,MATCH(A50,'01_KI-Inventar'!$A$6:$A$65,0)),""))</f>
        <v/>
      </c>
      <c r="C50" s="7"/>
      <c r="D50" s="7"/>
      <c r="E50" s="7"/>
      <c r="F50" s="10"/>
      <c r="G50" s="7"/>
      <c r="H50" s="7"/>
      <c r="I50" s="7"/>
      <c r="J50" s="7"/>
      <c r="K50" s="11" t="str">
        <f aca="false">IF(A50="","",IF(OR(C50="",D50="",G50="",J50="",COUNTIF(C50:D50,"Prüfung offen")&gt;0,COUNTIF(H50:I50,"Prüfung offen")&gt;0,AND(D50="Ja",OR(E50="",E50="noch offen")),AND(G50&lt;&gt;"keiner",OR(H50="",AND(H50&lt;&gt;"Ja",I50="")))),"noch offen — Angaben unvollständig",IF(C50="Ja","VERBOTEN (Art. 5)",IF(AND(D50="Ja",E50="Abschnitt B",G50&lt;&gt;"keiner"),"Hochrisiko Anhang I Abschnitt B UND Anhang III — gesondert prüfen",IF(AND(D50="Ja",E50="Abschnitt B"),"Hochrisiko Anhang I Abschnitt B (Sektorrecht)",IF(AND(D50="Ja",G50&lt;&gt;"keiner"),"Hochrisiko Anhang I Abschnitt A und Anhang III",IF(D50="Ja","Hochrisiko Anhang I Abschnitt A",IF(G50&lt;&gt;"keiner",IF(H50="Ja","Hochrisiko Anhang III",IF(I50="Ja","Kein Hochrisiko (Art. 6 Abs. 3)","Hochrisiko Anhang III")),IF(J50&lt;&gt;"keiner","Transparenzpflicht (Art. 50)","Geringes Risiko")))))))))</f>
        <v/>
      </c>
      <c r="L50" s="11" t="str">
        <f aca="false">IF(K50="","",IF(K50="VERBOTEN (Art. 5)","02.02.2025 (NCII/CSAM: 02.12.2026)",IF(LEFT(K50,10)="noch offen","keine Frist — Einstufung zuerst abschließen",IF(K50="Hochrisiko Anhang I Abschnitt B (Sektorrecht)","Kapitel III gilt nicht. Es gelten nur Art. 6 Abs. 1, Art. 60a und Art. 102–112 (Art. 2 Abs. 2 n. F.). Frist und Pflichten folgen aus dem Sektorrecht — bei Maschinen: Anhang III VO (EU) 2023/1230, delegierter Rechtsakt ab 02.08.2028.",IF(K50="Hochrisiko Anhang I Abschnitt B UND Anhang III — gesondert prüfen","Uneinheitlich: Für den Anhang-I-Teil gilt Art. 2 Abs. 2 n. F. (nur Art. 6 Abs. 1, 60a, 102–112), für den Anhang-III-Teil der 02.12.2027. Juristisch klären.",IF(K50="Hochrisiko Anhang I Abschnitt A und Anhang III","02.12.2027 (Anhang III) / 02.08.2028 (Anhang I Abschnitt A) — Planungsannahme",IF(K50="Hochrisiko Anhang I Abschnitt A","02.08.2028 — Planungsannahme; Vorbehalt delegierter Rechtsakte nach Art. 2 Abs. 13 n. F. (bis 02.08.2027)",IF(K50="Hochrisiko Anhang III","02.12.2027 — Planungsannahme",IF(K50="Transparenzpflicht (Art. 50)","02.08.2026",IF(K50="Kein Hochrisiko (Art. 6 Abs. 3)","Registrierung nach Art. 49 Abs. 2; Bewertung VOR Inverkehrbringen dokumentieren","keine besonderen Pflichten aus den hier geprüften Kategorien — Art. 4 und übriges Recht (DSGVO, Arbeitsrecht, Urheberrecht) weiter prüfen"))))))))))</f>
        <v/>
      </c>
      <c r="M50" s="11" t="str">
        <f aca="false">IF(K50="","",IF(LEFT(K50,10)="noch offen","noch offen",IF(K50="Kein Hochrisiko (Art. 6 Abs. 3)","Ja — Art. 49 Abs. 2 (Anbieter); Bewertung VOR Inverkehrbringen dokumentieren (Art. 6 Abs. 4)",IF(K50="Hochrisiko Anhang I Abschnitt B (Sektorrecht)","Nein — Art. 49 ist nach Art. 2 Abs. 2 n. F. nicht anwendbar",IF(K50="Hochrisiko Anhang I Abschnitt A","Nein — Art. 49 Abs. 1 gilt nur für Anhang III",IF(AND(LEFT(G50,1)="2",ISNUMBER(SEARCH("Anhang III",K50))),"Nein — Registrierung auf nationaler Ebene (Art. 49 Abs. 5)",IF(ISNUMBER(SEARCH("Anhang III",K50)),"Ja — Art. 49 Abs. 1 (Anbieter); Behörden als Betreiber: Art. 49 Abs. 3","Nein")))))))</f>
        <v/>
      </c>
      <c r="N50" s="11" t="str">
        <f aca="false">IF(A50="","",IF(K50="VERBOTEN (Art. 5)","entfällt — Einsatz unzulässig",IF(K50="Hochrisiko Anhang I Abschnitt B (Sektorrecht)","Nein — Art. 50 ist nach Art. 2 Abs. 2 n. F. nicht anwendbar",IF(AND(J50&lt;&gt;"",J50&lt;&gt;"keiner"),"Ja — Art. 50 gilt zusätzlich ab 02.08.2026","Nein"))))</f>
        <v/>
      </c>
      <c r="O50" s="7"/>
      <c r="P50" s="11" t="str">
        <f aca="false">IF(K50="","",IF(LEFT(K50,10)="noch offen","Prüfung unvollständig",IF(O50="Ja","Einstufung bestätigt",IF(O50="Nein","Juristische Prüfung erforderlich","Arbeitsannahme — nicht bestätigt"))))</f>
        <v/>
      </c>
      <c r="Q50" s="10"/>
      <c r="R50" s="12"/>
      <c r="S50" s="10"/>
      <c r="T50" s="10"/>
    </row>
    <row r="51" customFormat="false" ht="25.5" hidden="false" customHeight="true" outlineLevel="0" collapsed="false">
      <c r="A51" s="7"/>
      <c r="B51" s="11" t="str">
        <f aca="false">IF(A51="","",IFERROR(INDEX('01_KI-Inventar'!$B$6:$B$65,MATCH(A51,'01_KI-Inventar'!$A$6:$A$65,0)),""))</f>
        <v/>
      </c>
      <c r="C51" s="7"/>
      <c r="D51" s="7"/>
      <c r="E51" s="7"/>
      <c r="F51" s="10"/>
      <c r="G51" s="7"/>
      <c r="H51" s="7"/>
      <c r="I51" s="7"/>
      <c r="J51" s="7"/>
      <c r="K51" s="11" t="str">
        <f aca="false">IF(A51="","",IF(OR(C51="",D51="",G51="",J51="",COUNTIF(C51:D51,"Prüfung offen")&gt;0,COUNTIF(H51:I51,"Prüfung offen")&gt;0,AND(D51="Ja",OR(E51="",E51="noch offen")),AND(G51&lt;&gt;"keiner",OR(H51="",AND(H51&lt;&gt;"Ja",I51="")))),"noch offen — Angaben unvollständig",IF(C51="Ja","VERBOTEN (Art. 5)",IF(AND(D51="Ja",E51="Abschnitt B",G51&lt;&gt;"keiner"),"Hochrisiko Anhang I Abschnitt B UND Anhang III — gesondert prüfen",IF(AND(D51="Ja",E51="Abschnitt B"),"Hochrisiko Anhang I Abschnitt B (Sektorrecht)",IF(AND(D51="Ja",G51&lt;&gt;"keiner"),"Hochrisiko Anhang I Abschnitt A und Anhang III",IF(D51="Ja","Hochrisiko Anhang I Abschnitt A",IF(G51&lt;&gt;"keiner",IF(H51="Ja","Hochrisiko Anhang III",IF(I51="Ja","Kein Hochrisiko (Art. 6 Abs. 3)","Hochrisiko Anhang III")),IF(J51&lt;&gt;"keiner","Transparenzpflicht (Art. 50)","Geringes Risiko")))))))))</f>
        <v/>
      </c>
      <c r="L51" s="11" t="str">
        <f aca="false">IF(K51="","",IF(K51="VERBOTEN (Art. 5)","02.02.2025 (NCII/CSAM: 02.12.2026)",IF(LEFT(K51,10)="noch offen","keine Frist — Einstufung zuerst abschließen",IF(K51="Hochrisiko Anhang I Abschnitt B (Sektorrecht)","Kapitel III gilt nicht. Es gelten nur Art. 6 Abs. 1, Art. 60a und Art. 102–112 (Art. 2 Abs. 2 n. F.). Frist und Pflichten folgen aus dem Sektorrecht — bei Maschinen: Anhang III VO (EU) 2023/1230, delegierter Rechtsakt ab 02.08.2028.",IF(K51="Hochrisiko Anhang I Abschnitt B UND Anhang III — gesondert prüfen","Uneinheitlich: Für den Anhang-I-Teil gilt Art. 2 Abs. 2 n. F. (nur Art. 6 Abs. 1, 60a, 102–112), für den Anhang-III-Teil der 02.12.2027. Juristisch klären.",IF(K51="Hochrisiko Anhang I Abschnitt A und Anhang III","02.12.2027 (Anhang III) / 02.08.2028 (Anhang I Abschnitt A) — Planungsannahme",IF(K51="Hochrisiko Anhang I Abschnitt A","02.08.2028 — Planungsannahme; Vorbehalt delegierter Rechtsakte nach Art. 2 Abs. 13 n. F. (bis 02.08.2027)",IF(K51="Hochrisiko Anhang III","02.12.2027 — Planungsannahme",IF(K51="Transparenzpflicht (Art. 50)","02.08.2026",IF(K51="Kein Hochrisiko (Art. 6 Abs. 3)","Registrierung nach Art. 49 Abs. 2; Bewertung VOR Inverkehrbringen dokumentieren","keine besonderen Pflichten aus den hier geprüften Kategorien — Art. 4 und übriges Recht (DSGVO, Arbeitsrecht, Urheberrecht) weiter prüfen"))))))))))</f>
        <v/>
      </c>
      <c r="M51" s="11" t="str">
        <f aca="false">IF(K51="","",IF(LEFT(K51,10)="noch offen","noch offen",IF(K51="Kein Hochrisiko (Art. 6 Abs. 3)","Ja — Art. 49 Abs. 2 (Anbieter); Bewertung VOR Inverkehrbringen dokumentieren (Art. 6 Abs. 4)",IF(K51="Hochrisiko Anhang I Abschnitt B (Sektorrecht)","Nein — Art. 49 ist nach Art. 2 Abs. 2 n. F. nicht anwendbar",IF(K51="Hochrisiko Anhang I Abschnitt A","Nein — Art. 49 Abs. 1 gilt nur für Anhang III",IF(AND(LEFT(G51,1)="2",ISNUMBER(SEARCH("Anhang III",K51))),"Nein — Registrierung auf nationaler Ebene (Art. 49 Abs. 5)",IF(ISNUMBER(SEARCH("Anhang III",K51)),"Ja — Art. 49 Abs. 1 (Anbieter); Behörden als Betreiber: Art. 49 Abs. 3","Nein")))))))</f>
        <v/>
      </c>
      <c r="N51" s="11" t="str">
        <f aca="false">IF(A51="","",IF(K51="VERBOTEN (Art. 5)","entfällt — Einsatz unzulässig",IF(K51="Hochrisiko Anhang I Abschnitt B (Sektorrecht)","Nein — Art. 50 ist nach Art. 2 Abs. 2 n. F. nicht anwendbar",IF(AND(J51&lt;&gt;"",J51&lt;&gt;"keiner"),"Ja — Art. 50 gilt zusätzlich ab 02.08.2026","Nein"))))</f>
        <v/>
      </c>
      <c r="O51" s="7"/>
      <c r="P51" s="11" t="str">
        <f aca="false">IF(K51="","",IF(LEFT(K51,10)="noch offen","Prüfung unvollständig",IF(O51="Ja","Einstufung bestätigt",IF(O51="Nein","Juristische Prüfung erforderlich","Arbeitsannahme — nicht bestätigt"))))</f>
        <v/>
      </c>
      <c r="Q51" s="10"/>
      <c r="R51" s="12"/>
      <c r="S51" s="10"/>
      <c r="T51" s="10"/>
    </row>
    <row r="52" customFormat="false" ht="25.5" hidden="false" customHeight="true" outlineLevel="0" collapsed="false">
      <c r="A52" s="7"/>
      <c r="B52" s="11" t="str">
        <f aca="false">IF(A52="","",IFERROR(INDEX('01_KI-Inventar'!$B$6:$B$65,MATCH(A52,'01_KI-Inventar'!$A$6:$A$65,0)),""))</f>
        <v/>
      </c>
      <c r="C52" s="7"/>
      <c r="D52" s="7"/>
      <c r="E52" s="7"/>
      <c r="F52" s="10"/>
      <c r="G52" s="7"/>
      <c r="H52" s="7"/>
      <c r="I52" s="7"/>
      <c r="J52" s="7"/>
      <c r="K52" s="11" t="str">
        <f aca="false">IF(A52="","",IF(OR(C52="",D52="",G52="",J52="",COUNTIF(C52:D52,"Prüfung offen")&gt;0,COUNTIF(H52:I52,"Prüfung offen")&gt;0,AND(D52="Ja",OR(E52="",E52="noch offen")),AND(G52&lt;&gt;"keiner",OR(H52="",AND(H52&lt;&gt;"Ja",I52="")))),"noch offen — Angaben unvollständig",IF(C52="Ja","VERBOTEN (Art. 5)",IF(AND(D52="Ja",E52="Abschnitt B",G52&lt;&gt;"keiner"),"Hochrisiko Anhang I Abschnitt B UND Anhang III — gesondert prüfen",IF(AND(D52="Ja",E52="Abschnitt B"),"Hochrisiko Anhang I Abschnitt B (Sektorrecht)",IF(AND(D52="Ja",G52&lt;&gt;"keiner"),"Hochrisiko Anhang I Abschnitt A und Anhang III",IF(D52="Ja","Hochrisiko Anhang I Abschnitt A",IF(G52&lt;&gt;"keiner",IF(H52="Ja","Hochrisiko Anhang III",IF(I52="Ja","Kein Hochrisiko (Art. 6 Abs. 3)","Hochrisiko Anhang III")),IF(J52&lt;&gt;"keiner","Transparenzpflicht (Art. 50)","Geringes Risiko")))))))))</f>
        <v/>
      </c>
      <c r="L52" s="11" t="str">
        <f aca="false">IF(K52="","",IF(K52="VERBOTEN (Art. 5)","02.02.2025 (NCII/CSAM: 02.12.2026)",IF(LEFT(K52,10)="noch offen","keine Frist — Einstufung zuerst abschließen",IF(K52="Hochrisiko Anhang I Abschnitt B (Sektorrecht)","Kapitel III gilt nicht. Es gelten nur Art. 6 Abs. 1, Art. 60a und Art. 102–112 (Art. 2 Abs. 2 n. F.). Frist und Pflichten folgen aus dem Sektorrecht — bei Maschinen: Anhang III VO (EU) 2023/1230, delegierter Rechtsakt ab 02.08.2028.",IF(K52="Hochrisiko Anhang I Abschnitt B UND Anhang III — gesondert prüfen","Uneinheitlich: Für den Anhang-I-Teil gilt Art. 2 Abs. 2 n. F. (nur Art. 6 Abs. 1, 60a, 102–112), für den Anhang-III-Teil der 02.12.2027. Juristisch klären.",IF(K52="Hochrisiko Anhang I Abschnitt A und Anhang III","02.12.2027 (Anhang III) / 02.08.2028 (Anhang I Abschnitt A) — Planungsannahme",IF(K52="Hochrisiko Anhang I Abschnitt A","02.08.2028 — Planungsannahme; Vorbehalt delegierter Rechtsakte nach Art. 2 Abs. 13 n. F. (bis 02.08.2027)",IF(K52="Hochrisiko Anhang III","02.12.2027 — Planungsannahme",IF(K52="Transparenzpflicht (Art. 50)","02.08.2026",IF(K52="Kein Hochrisiko (Art. 6 Abs. 3)","Registrierung nach Art. 49 Abs. 2; Bewertung VOR Inverkehrbringen dokumentieren","keine besonderen Pflichten aus den hier geprüften Kategorien — Art. 4 und übriges Recht (DSGVO, Arbeitsrecht, Urheberrecht) weiter prüfen"))))))))))</f>
        <v/>
      </c>
      <c r="M52" s="11" t="str">
        <f aca="false">IF(K52="","",IF(LEFT(K52,10)="noch offen","noch offen",IF(K52="Kein Hochrisiko (Art. 6 Abs. 3)","Ja — Art. 49 Abs. 2 (Anbieter); Bewertung VOR Inverkehrbringen dokumentieren (Art. 6 Abs. 4)",IF(K52="Hochrisiko Anhang I Abschnitt B (Sektorrecht)","Nein — Art. 49 ist nach Art. 2 Abs. 2 n. F. nicht anwendbar",IF(K52="Hochrisiko Anhang I Abschnitt A","Nein — Art. 49 Abs. 1 gilt nur für Anhang III",IF(AND(LEFT(G52,1)="2",ISNUMBER(SEARCH("Anhang III",K52))),"Nein — Registrierung auf nationaler Ebene (Art. 49 Abs. 5)",IF(ISNUMBER(SEARCH("Anhang III",K52)),"Ja — Art. 49 Abs. 1 (Anbieter); Behörden als Betreiber: Art. 49 Abs. 3","Nein")))))))</f>
        <v/>
      </c>
      <c r="N52" s="11" t="str">
        <f aca="false">IF(A52="","",IF(K52="VERBOTEN (Art. 5)","entfällt — Einsatz unzulässig",IF(K52="Hochrisiko Anhang I Abschnitt B (Sektorrecht)","Nein — Art. 50 ist nach Art. 2 Abs. 2 n. F. nicht anwendbar",IF(AND(J52&lt;&gt;"",J52&lt;&gt;"keiner"),"Ja — Art. 50 gilt zusätzlich ab 02.08.2026","Nein"))))</f>
        <v/>
      </c>
      <c r="O52" s="7"/>
      <c r="P52" s="11" t="str">
        <f aca="false">IF(K52="","",IF(LEFT(K52,10)="noch offen","Prüfung unvollständig",IF(O52="Ja","Einstufung bestätigt",IF(O52="Nein","Juristische Prüfung erforderlich","Arbeitsannahme — nicht bestätigt"))))</f>
        <v/>
      </c>
      <c r="Q52" s="10"/>
      <c r="R52" s="12"/>
      <c r="S52" s="10"/>
      <c r="T52" s="10"/>
    </row>
    <row r="53" customFormat="false" ht="25.5" hidden="false" customHeight="true" outlineLevel="0" collapsed="false">
      <c r="A53" s="7"/>
      <c r="B53" s="11" t="str">
        <f aca="false">IF(A53="","",IFERROR(INDEX('01_KI-Inventar'!$B$6:$B$65,MATCH(A53,'01_KI-Inventar'!$A$6:$A$65,0)),""))</f>
        <v/>
      </c>
      <c r="C53" s="7"/>
      <c r="D53" s="7"/>
      <c r="E53" s="7"/>
      <c r="F53" s="10"/>
      <c r="G53" s="7"/>
      <c r="H53" s="7"/>
      <c r="I53" s="7"/>
      <c r="J53" s="7"/>
      <c r="K53" s="11" t="str">
        <f aca="false">IF(A53="","",IF(OR(C53="",D53="",G53="",J53="",COUNTIF(C53:D53,"Prüfung offen")&gt;0,COUNTIF(H53:I53,"Prüfung offen")&gt;0,AND(D53="Ja",OR(E53="",E53="noch offen")),AND(G53&lt;&gt;"keiner",OR(H53="",AND(H53&lt;&gt;"Ja",I53="")))),"noch offen — Angaben unvollständig",IF(C53="Ja","VERBOTEN (Art. 5)",IF(AND(D53="Ja",E53="Abschnitt B",G53&lt;&gt;"keiner"),"Hochrisiko Anhang I Abschnitt B UND Anhang III — gesondert prüfen",IF(AND(D53="Ja",E53="Abschnitt B"),"Hochrisiko Anhang I Abschnitt B (Sektorrecht)",IF(AND(D53="Ja",G53&lt;&gt;"keiner"),"Hochrisiko Anhang I Abschnitt A und Anhang III",IF(D53="Ja","Hochrisiko Anhang I Abschnitt A",IF(G53&lt;&gt;"keiner",IF(H53="Ja","Hochrisiko Anhang III",IF(I53="Ja","Kein Hochrisiko (Art. 6 Abs. 3)","Hochrisiko Anhang III")),IF(J53&lt;&gt;"keiner","Transparenzpflicht (Art. 50)","Geringes Risiko")))))))))</f>
        <v/>
      </c>
      <c r="L53" s="11" t="str">
        <f aca="false">IF(K53="","",IF(K53="VERBOTEN (Art. 5)","02.02.2025 (NCII/CSAM: 02.12.2026)",IF(LEFT(K53,10)="noch offen","keine Frist — Einstufung zuerst abschließen",IF(K53="Hochrisiko Anhang I Abschnitt B (Sektorrecht)","Kapitel III gilt nicht. Es gelten nur Art. 6 Abs. 1, Art. 60a und Art. 102–112 (Art. 2 Abs. 2 n. F.). Frist und Pflichten folgen aus dem Sektorrecht — bei Maschinen: Anhang III VO (EU) 2023/1230, delegierter Rechtsakt ab 02.08.2028.",IF(K53="Hochrisiko Anhang I Abschnitt B UND Anhang III — gesondert prüfen","Uneinheitlich: Für den Anhang-I-Teil gilt Art. 2 Abs. 2 n. F. (nur Art. 6 Abs. 1, 60a, 102–112), für den Anhang-III-Teil der 02.12.2027. Juristisch klären.",IF(K53="Hochrisiko Anhang I Abschnitt A und Anhang III","02.12.2027 (Anhang III) / 02.08.2028 (Anhang I Abschnitt A) — Planungsannahme",IF(K53="Hochrisiko Anhang I Abschnitt A","02.08.2028 — Planungsannahme; Vorbehalt delegierter Rechtsakte nach Art. 2 Abs. 13 n. F. (bis 02.08.2027)",IF(K53="Hochrisiko Anhang III","02.12.2027 — Planungsannahme",IF(K53="Transparenzpflicht (Art. 50)","02.08.2026",IF(K53="Kein Hochrisiko (Art. 6 Abs. 3)","Registrierung nach Art. 49 Abs. 2; Bewertung VOR Inverkehrbringen dokumentieren","keine besonderen Pflichten aus den hier geprüften Kategorien — Art. 4 und übriges Recht (DSGVO, Arbeitsrecht, Urheberrecht) weiter prüfen"))))))))))</f>
        <v/>
      </c>
      <c r="M53" s="11" t="str">
        <f aca="false">IF(K53="","",IF(LEFT(K53,10)="noch offen","noch offen",IF(K53="Kein Hochrisiko (Art. 6 Abs. 3)","Ja — Art. 49 Abs. 2 (Anbieter); Bewertung VOR Inverkehrbringen dokumentieren (Art. 6 Abs. 4)",IF(K53="Hochrisiko Anhang I Abschnitt B (Sektorrecht)","Nein — Art. 49 ist nach Art. 2 Abs. 2 n. F. nicht anwendbar",IF(K53="Hochrisiko Anhang I Abschnitt A","Nein — Art. 49 Abs. 1 gilt nur für Anhang III",IF(AND(LEFT(G53,1)="2",ISNUMBER(SEARCH("Anhang III",K53))),"Nein — Registrierung auf nationaler Ebene (Art. 49 Abs. 5)",IF(ISNUMBER(SEARCH("Anhang III",K53)),"Ja — Art. 49 Abs. 1 (Anbieter); Behörden als Betreiber: Art. 49 Abs. 3","Nein")))))))</f>
        <v/>
      </c>
      <c r="N53" s="11" t="str">
        <f aca="false">IF(A53="","",IF(K53="VERBOTEN (Art. 5)","entfällt — Einsatz unzulässig",IF(K53="Hochrisiko Anhang I Abschnitt B (Sektorrecht)","Nein — Art. 50 ist nach Art. 2 Abs. 2 n. F. nicht anwendbar",IF(AND(J53&lt;&gt;"",J53&lt;&gt;"keiner"),"Ja — Art. 50 gilt zusätzlich ab 02.08.2026","Nein"))))</f>
        <v/>
      </c>
      <c r="O53" s="7"/>
      <c r="P53" s="11" t="str">
        <f aca="false">IF(K53="","",IF(LEFT(K53,10)="noch offen","Prüfung unvollständig",IF(O53="Ja","Einstufung bestätigt",IF(O53="Nein","Juristische Prüfung erforderlich","Arbeitsannahme — nicht bestätigt"))))</f>
        <v/>
      </c>
      <c r="Q53" s="10"/>
      <c r="R53" s="12"/>
      <c r="S53" s="10"/>
      <c r="T53" s="10"/>
    </row>
    <row r="54" customFormat="false" ht="25.5" hidden="false" customHeight="true" outlineLevel="0" collapsed="false">
      <c r="A54" s="7"/>
      <c r="B54" s="11" t="str">
        <f aca="false">IF(A54="","",IFERROR(INDEX('01_KI-Inventar'!$B$6:$B$65,MATCH(A54,'01_KI-Inventar'!$A$6:$A$65,0)),""))</f>
        <v/>
      </c>
      <c r="C54" s="7"/>
      <c r="D54" s="7"/>
      <c r="E54" s="7"/>
      <c r="F54" s="10"/>
      <c r="G54" s="7"/>
      <c r="H54" s="7"/>
      <c r="I54" s="7"/>
      <c r="J54" s="7"/>
      <c r="K54" s="11" t="str">
        <f aca="false">IF(A54="","",IF(OR(C54="",D54="",G54="",J54="",COUNTIF(C54:D54,"Prüfung offen")&gt;0,COUNTIF(H54:I54,"Prüfung offen")&gt;0,AND(D54="Ja",OR(E54="",E54="noch offen")),AND(G54&lt;&gt;"keiner",OR(H54="",AND(H54&lt;&gt;"Ja",I54="")))),"noch offen — Angaben unvollständig",IF(C54="Ja","VERBOTEN (Art. 5)",IF(AND(D54="Ja",E54="Abschnitt B",G54&lt;&gt;"keiner"),"Hochrisiko Anhang I Abschnitt B UND Anhang III — gesondert prüfen",IF(AND(D54="Ja",E54="Abschnitt B"),"Hochrisiko Anhang I Abschnitt B (Sektorrecht)",IF(AND(D54="Ja",G54&lt;&gt;"keiner"),"Hochrisiko Anhang I Abschnitt A und Anhang III",IF(D54="Ja","Hochrisiko Anhang I Abschnitt A",IF(G54&lt;&gt;"keiner",IF(H54="Ja","Hochrisiko Anhang III",IF(I54="Ja","Kein Hochrisiko (Art. 6 Abs. 3)","Hochrisiko Anhang III")),IF(J54&lt;&gt;"keiner","Transparenzpflicht (Art. 50)","Geringes Risiko")))))))))</f>
        <v/>
      </c>
      <c r="L54" s="11" t="str">
        <f aca="false">IF(K54="","",IF(K54="VERBOTEN (Art. 5)","02.02.2025 (NCII/CSAM: 02.12.2026)",IF(LEFT(K54,10)="noch offen","keine Frist — Einstufung zuerst abschließen",IF(K54="Hochrisiko Anhang I Abschnitt B (Sektorrecht)","Kapitel III gilt nicht. Es gelten nur Art. 6 Abs. 1, Art. 60a und Art. 102–112 (Art. 2 Abs. 2 n. F.). Frist und Pflichten folgen aus dem Sektorrecht — bei Maschinen: Anhang III VO (EU) 2023/1230, delegierter Rechtsakt ab 02.08.2028.",IF(K54="Hochrisiko Anhang I Abschnitt B UND Anhang III — gesondert prüfen","Uneinheitlich: Für den Anhang-I-Teil gilt Art. 2 Abs. 2 n. F. (nur Art. 6 Abs. 1, 60a, 102–112), für den Anhang-III-Teil der 02.12.2027. Juristisch klären.",IF(K54="Hochrisiko Anhang I Abschnitt A und Anhang III","02.12.2027 (Anhang III) / 02.08.2028 (Anhang I Abschnitt A) — Planungsannahme",IF(K54="Hochrisiko Anhang I Abschnitt A","02.08.2028 — Planungsannahme; Vorbehalt delegierter Rechtsakte nach Art. 2 Abs. 13 n. F. (bis 02.08.2027)",IF(K54="Hochrisiko Anhang III","02.12.2027 — Planungsannahme",IF(K54="Transparenzpflicht (Art. 50)","02.08.2026",IF(K54="Kein Hochrisiko (Art. 6 Abs. 3)","Registrierung nach Art. 49 Abs. 2; Bewertung VOR Inverkehrbringen dokumentieren","keine besonderen Pflichten aus den hier geprüften Kategorien — Art. 4 und übriges Recht (DSGVO, Arbeitsrecht, Urheberrecht) weiter prüfen"))))))))))</f>
        <v/>
      </c>
      <c r="M54" s="11" t="str">
        <f aca="false">IF(K54="","",IF(LEFT(K54,10)="noch offen","noch offen",IF(K54="Kein Hochrisiko (Art. 6 Abs. 3)","Ja — Art. 49 Abs. 2 (Anbieter); Bewertung VOR Inverkehrbringen dokumentieren (Art. 6 Abs. 4)",IF(K54="Hochrisiko Anhang I Abschnitt B (Sektorrecht)","Nein — Art. 49 ist nach Art. 2 Abs. 2 n. F. nicht anwendbar",IF(K54="Hochrisiko Anhang I Abschnitt A","Nein — Art. 49 Abs. 1 gilt nur für Anhang III",IF(AND(LEFT(G54,1)="2",ISNUMBER(SEARCH("Anhang III",K54))),"Nein — Registrierung auf nationaler Ebene (Art. 49 Abs. 5)",IF(ISNUMBER(SEARCH("Anhang III",K54)),"Ja — Art. 49 Abs. 1 (Anbieter); Behörden als Betreiber: Art. 49 Abs. 3","Nein")))))))</f>
        <v/>
      </c>
      <c r="N54" s="11" t="str">
        <f aca="false">IF(A54="","",IF(K54="VERBOTEN (Art. 5)","entfällt — Einsatz unzulässig",IF(K54="Hochrisiko Anhang I Abschnitt B (Sektorrecht)","Nein — Art. 50 ist nach Art. 2 Abs. 2 n. F. nicht anwendbar",IF(AND(J54&lt;&gt;"",J54&lt;&gt;"keiner"),"Ja — Art. 50 gilt zusätzlich ab 02.08.2026","Nein"))))</f>
        <v/>
      </c>
      <c r="O54" s="7"/>
      <c r="P54" s="11" t="str">
        <f aca="false">IF(K54="","",IF(LEFT(K54,10)="noch offen","Prüfung unvollständig",IF(O54="Ja","Einstufung bestätigt",IF(O54="Nein","Juristische Prüfung erforderlich","Arbeitsannahme — nicht bestätigt"))))</f>
        <v/>
      </c>
      <c r="Q54" s="10"/>
      <c r="R54" s="12"/>
      <c r="S54" s="10"/>
      <c r="T54" s="10"/>
    </row>
    <row r="55" customFormat="false" ht="25.5" hidden="false" customHeight="true" outlineLevel="0" collapsed="false">
      <c r="A55" s="7"/>
      <c r="B55" s="11" t="str">
        <f aca="false">IF(A55="","",IFERROR(INDEX('01_KI-Inventar'!$B$6:$B$65,MATCH(A55,'01_KI-Inventar'!$A$6:$A$65,0)),""))</f>
        <v/>
      </c>
      <c r="C55" s="7"/>
      <c r="D55" s="7"/>
      <c r="E55" s="7"/>
      <c r="F55" s="10"/>
      <c r="G55" s="7"/>
      <c r="H55" s="7"/>
      <c r="I55" s="7"/>
      <c r="J55" s="7"/>
      <c r="K55" s="11" t="str">
        <f aca="false">IF(A55="","",IF(OR(C55="",D55="",G55="",J55="",COUNTIF(C55:D55,"Prüfung offen")&gt;0,COUNTIF(H55:I55,"Prüfung offen")&gt;0,AND(D55="Ja",OR(E55="",E55="noch offen")),AND(G55&lt;&gt;"keiner",OR(H55="",AND(H55&lt;&gt;"Ja",I55="")))),"noch offen — Angaben unvollständig",IF(C55="Ja","VERBOTEN (Art. 5)",IF(AND(D55="Ja",E55="Abschnitt B",G55&lt;&gt;"keiner"),"Hochrisiko Anhang I Abschnitt B UND Anhang III — gesondert prüfen",IF(AND(D55="Ja",E55="Abschnitt B"),"Hochrisiko Anhang I Abschnitt B (Sektorrecht)",IF(AND(D55="Ja",G55&lt;&gt;"keiner"),"Hochrisiko Anhang I Abschnitt A und Anhang III",IF(D55="Ja","Hochrisiko Anhang I Abschnitt A",IF(G55&lt;&gt;"keiner",IF(H55="Ja","Hochrisiko Anhang III",IF(I55="Ja","Kein Hochrisiko (Art. 6 Abs. 3)","Hochrisiko Anhang III")),IF(J55&lt;&gt;"keiner","Transparenzpflicht (Art. 50)","Geringes Risiko")))))))))</f>
        <v/>
      </c>
      <c r="L55" s="11" t="str">
        <f aca="false">IF(K55="","",IF(K55="VERBOTEN (Art. 5)","02.02.2025 (NCII/CSAM: 02.12.2026)",IF(LEFT(K55,10)="noch offen","keine Frist — Einstufung zuerst abschließen",IF(K55="Hochrisiko Anhang I Abschnitt B (Sektorrecht)","Kapitel III gilt nicht. Es gelten nur Art. 6 Abs. 1, Art. 60a und Art. 102–112 (Art. 2 Abs. 2 n. F.). Frist und Pflichten folgen aus dem Sektorrecht — bei Maschinen: Anhang III VO (EU) 2023/1230, delegierter Rechtsakt ab 02.08.2028.",IF(K55="Hochrisiko Anhang I Abschnitt B UND Anhang III — gesondert prüfen","Uneinheitlich: Für den Anhang-I-Teil gilt Art. 2 Abs. 2 n. F. (nur Art. 6 Abs. 1, 60a, 102–112), für den Anhang-III-Teil der 02.12.2027. Juristisch klären.",IF(K55="Hochrisiko Anhang I Abschnitt A und Anhang III","02.12.2027 (Anhang III) / 02.08.2028 (Anhang I Abschnitt A) — Planungsannahme",IF(K55="Hochrisiko Anhang I Abschnitt A","02.08.2028 — Planungsannahme; Vorbehalt delegierter Rechtsakte nach Art. 2 Abs. 13 n. F. (bis 02.08.2027)",IF(K55="Hochrisiko Anhang III","02.12.2027 — Planungsannahme",IF(K55="Transparenzpflicht (Art. 50)","02.08.2026",IF(K55="Kein Hochrisiko (Art. 6 Abs. 3)","Registrierung nach Art. 49 Abs. 2; Bewertung VOR Inverkehrbringen dokumentieren","keine besonderen Pflichten aus den hier geprüften Kategorien — Art. 4 und übriges Recht (DSGVO, Arbeitsrecht, Urheberrecht) weiter prüfen"))))))))))</f>
        <v/>
      </c>
      <c r="M55" s="11" t="str">
        <f aca="false">IF(K55="","",IF(LEFT(K55,10)="noch offen","noch offen",IF(K55="Kein Hochrisiko (Art. 6 Abs. 3)","Ja — Art. 49 Abs. 2 (Anbieter); Bewertung VOR Inverkehrbringen dokumentieren (Art. 6 Abs. 4)",IF(K55="Hochrisiko Anhang I Abschnitt B (Sektorrecht)","Nein — Art. 49 ist nach Art. 2 Abs. 2 n. F. nicht anwendbar",IF(K55="Hochrisiko Anhang I Abschnitt A","Nein — Art. 49 Abs. 1 gilt nur für Anhang III",IF(AND(LEFT(G55,1)="2",ISNUMBER(SEARCH("Anhang III",K55))),"Nein — Registrierung auf nationaler Ebene (Art. 49 Abs. 5)",IF(ISNUMBER(SEARCH("Anhang III",K55)),"Ja — Art. 49 Abs. 1 (Anbieter); Behörden als Betreiber: Art. 49 Abs. 3","Nein")))))))</f>
        <v/>
      </c>
      <c r="N55" s="11" t="str">
        <f aca="false">IF(A55="","",IF(K55="VERBOTEN (Art. 5)","entfällt — Einsatz unzulässig",IF(K55="Hochrisiko Anhang I Abschnitt B (Sektorrecht)","Nein — Art. 50 ist nach Art. 2 Abs. 2 n. F. nicht anwendbar",IF(AND(J55&lt;&gt;"",J55&lt;&gt;"keiner"),"Ja — Art. 50 gilt zusätzlich ab 02.08.2026","Nein"))))</f>
        <v/>
      </c>
      <c r="O55" s="7"/>
      <c r="P55" s="11" t="str">
        <f aca="false">IF(K55="","",IF(LEFT(K55,10)="noch offen","Prüfung unvollständig",IF(O55="Ja","Einstufung bestätigt",IF(O55="Nein","Juristische Prüfung erforderlich","Arbeitsannahme — nicht bestätigt"))))</f>
        <v/>
      </c>
      <c r="Q55" s="10"/>
      <c r="R55" s="12"/>
      <c r="S55" s="10"/>
      <c r="T55" s="10"/>
    </row>
    <row r="56" customFormat="false" ht="25.5" hidden="false" customHeight="true" outlineLevel="0" collapsed="false">
      <c r="A56" s="7"/>
      <c r="B56" s="11" t="str">
        <f aca="false">IF(A56="","",IFERROR(INDEX('01_KI-Inventar'!$B$6:$B$65,MATCH(A56,'01_KI-Inventar'!$A$6:$A$65,0)),""))</f>
        <v/>
      </c>
      <c r="C56" s="7"/>
      <c r="D56" s="7"/>
      <c r="E56" s="7"/>
      <c r="F56" s="10"/>
      <c r="G56" s="7"/>
      <c r="H56" s="7"/>
      <c r="I56" s="7"/>
      <c r="J56" s="7"/>
      <c r="K56" s="11" t="str">
        <f aca="false">IF(A56="","",IF(OR(C56="",D56="",G56="",J56="",COUNTIF(C56:D56,"Prüfung offen")&gt;0,COUNTIF(H56:I56,"Prüfung offen")&gt;0,AND(D56="Ja",OR(E56="",E56="noch offen")),AND(G56&lt;&gt;"keiner",OR(H56="",AND(H56&lt;&gt;"Ja",I56="")))),"noch offen — Angaben unvollständig",IF(C56="Ja","VERBOTEN (Art. 5)",IF(AND(D56="Ja",E56="Abschnitt B",G56&lt;&gt;"keiner"),"Hochrisiko Anhang I Abschnitt B UND Anhang III — gesondert prüfen",IF(AND(D56="Ja",E56="Abschnitt B"),"Hochrisiko Anhang I Abschnitt B (Sektorrecht)",IF(AND(D56="Ja",G56&lt;&gt;"keiner"),"Hochrisiko Anhang I Abschnitt A und Anhang III",IF(D56="Ja","Hochrisiko Anhang I Abschnitt A",IF(G56&lt;&gt;"keiner",IF(H56="Ja","Hochrisiko Anhang III",IF(I56="Ja","Kein Hochrisiko (Art. 6 Abs. 3)","Hochrisiko Anhang III")),IF(J56&lt;&gt;"keiner","Transparenzpflicht (Art. 50)","Geringes Risiko")))))))))</f>
        <v/>
      </c>
      <c r="L56" s="11" t="str">
        <f aca="false">IF(K56="","",IF(K56="VERBOTEN (Art. 5)","02.02.2025 (NCII/CSAM: 02.12.2026)",IF(LEFT(K56,10)="noch offen","keine Frist — Einstufung zuerst abschließen",IF(K56="Hochrisiko Anhang I Abschnitt B (Sektorrecht)","Kapitel III gilt nicht. Es gelten nur Art. 6 Abs. 1, Art. 60a und Art. 102–112 (Art. 2 Abs. 2 n. F.). Frist und Pflichten folgen aus dem Sektorrecht — bei Maschinen: Anhang III VO (EU) 2023/1230, delegierter Rechtsakt ab 02.08.2028.",IF(K56="Hochrisiko Anhang I Abschnitt B UND Anhang III — gesondert prüfen","Uneinheitlich: Für den Anhang-I-Teil gilt Art. 2 Abs. 2 n. F. (nur Art. 6 Abs. 1, 60a, 102–112), für den Anhang-III-Teil der 02.12.2027. Juristisch klären.",IF(K56="Hochrisiko Anhang I Abschnitt A und Anhang III","02.12.2027 (Anhang III) / 02.08.2028 (Anhang I Abschnitt A) — Planungsannahme",IF(K56="Hochrisiko Anhang I Abschnitt A","02.08.2028 — Planungsannahme; Vorbehalt delegierter Rechtsakte nach Art. 2 Abs. 13 n. F. (bis 02.08.2027)",IF(K56="Hochrisiko Anhang III","02.12.2027 — Planungsannahme",IF(K56="Transparenzpflicht (Art. 50)","02.08.2026",IF(K56="Kein Hochrisiko (Art. 6 Abs. 3)","Registrierung nach Art. 49 Abs. 2; Bewertung VOR Inverkehrbringen dokumentieren","keine besonderen Pflichten aus den hier geprüften Kategorien — Art. 4 und übriges Recht (DSGVO, Arbeitsrecht, Urheberrecht) weiter prüfen"))))))))))</f>
        <v/>
      </c>
      <c r="M56" s="11" t="str">
        <f aca="false">IF(K56="","",IF(LEFT(K56,10)="noch offen","noch offen",IF(K56="Kein Hochrisiko (Art. 6 Abs. 3)","Ja — Art. 49 Abs. 2 (Anbieter); Bewertung VOR Inverkehrbringen dokumentieren (Art. 6 Abs. 4)",IF(K56="Hochrisiko Anhang I Abschnitt B (Sektorrecht)","Nein — Art. 49 ist nach Art. 2 Abs. 2 n. F. nicht anwendbar",IF(K56="Hochrisiko Anhang I Abschnitt A","Nein — Art. 49 Abs. 1 gilt nur für Anhang III",IF(AND(LEFT(G56,1)="2",ISNUMBER(SEARCH("Anhang III",K56))),"Nein — Registrierung auf nationaler Ebene (Art. 49 Abs. 5)",IF(ISNUMBER(SEARCH("Anhang III",K56)),"Ja — Art. 49 Abs. 1 (Anbieter); Behörden als Betreiber: Art. 49 Abs. 3","Nein")))))))</f>
        <v/>
      </c>
      <c r="N56" s="11" t="str">
        <f aca="false">IF(A56="","",IF(K56="VERBOTEN (Art. 5)","entfällt — Einsatz unzulässig",IF(K56="Hochrisiko Anhang I Abschnitt B (Sektorrecht)","Nein — Art. 50 ist nach Art. 2 Abs. 2 n. F. nicht anwendbar",IF(AND(J56&lt;&gt;"",J56&lt;&gt;"keiner"),"Ja — Art. 50 gilt zusätzlich ab 02.08.2026","Nein"))))</f>
        <v/>
      </c>
      <c r="O56" s="7"/>
      <c r="P56" s="11" t="str">
        <f aca="false">IF(K56="","",IF(LEFT(K56,10)="noch offen","Prüfung unvollständig",IF(O56="Ja","Einstufung bestätigt",IF(O56="Nein","Juristische Prüfung erforderlich","Arbeitsannahme — nicht bestätigt"))))</f>
        <v/>
      </c>
      <c r="Q56" s="10"/>
      <c r="R56" s="12"/>
      <c r="S56" s="10"/>
      <c r="T56" s="10"/>
    </row>
    <row r="57" customFormat="false" ht="25.5" hidden="false" customHeight="true" outlineLevel="0" collapsed="false">
      <c r="A57" s="7"/>
      <c r="B57" s="11" t="str">
        <f aca="false">IF(A57="","",IFERROR(INDEX('01_KI-Inventar'!$B$6:$B$65,MATCH(A57,'01_KI-Inventar'!$A$6:$A$65,0)),""))</f>
        <v/>
      </c>
      <c r="C57" s="7"/>
      <c r="D57" s="7"/>
      <c r="E57" s="7"/>
      <c r="F57" s="10"/>
      <c r="G57" s="7"/>
      <c r="H57" s="7"/>
      <c r="I57" s="7"/>
      <c r="J57" s="7"/>
      <c r="K57" s="11" t="str">
        <f aca="false">IF(A57="","",IF(OR(C57="",D57="",G57="",J57="",COUNTIF(C57:D57,"Prüfung offen")&gt;0,COUNTIF(H57:I57,"Prüfung offen")&gt;0,AND(D57="Ja",OR(E57="",E57="noch offen")),AND(G57&lt;&gt;"keiner",OR(H57="",AND(H57&lt;&gt;"Ja",I57="")))),"noch offen — Angaben unvollständig",IF(C57="Ja","VERBOTEN (Art. 5)",IF(AND(D57="Ja",E57="Abschnitt B",G57&lt;&gt;"keiner"),"Hochrisiko Anhang I Abschnitt B UND Anhang III — gesondert prüfen",IF(AND(D57="Ja",E57="Abschnitt B"),"Hochrisiko Anhang I Abschnitt B (Sektorrecht)",IF(AND(D57="Ja",G57&lt;&gt;"keiner"),"Hochrisiko Anhang I Abschnitt A und Anhang III",IF(D57="Ja","Hochrisiko Anhang I Abschnitt A",IF(G57&lt;&gt;"keiner",IF(H57="Ja","Hochrisiko Anhang III",IF(I57="Ja","Kein Hochrisiko (Art. 6 Abs. 3)","Hochrisiko Anhang III")),IF(J57&lt;&gt;"keiner","Transparenzpflicht (Art. 50)","Geringes Risiko")))))))))</f>
        <v/>
      </c>
      <c r="L57" s="11" t="str">
        <f aca="false">IF(K57="","",IF(K57="VERBOTEN (Art. 5)","02.02.2025 (NCII/CSAM: 02.12.2026)",IF(LEFT(K57,10)="noch offen","keine Frist — Einstufung zuerst abschließen",IF(K57="Hochrisiko Anhang I Abschnitt B (Sektorrecht)","Kapitel III gilt nicht. Es gelten nur Art. 6 Abs. 1, Art. 60a und Art. 102–112 (Art. 2 Abs. 2 n. F.). Frist und Pflichten folgen aus dem Sektorrecht — bei Maschinen: Anhang III VO (EU) 2023/1230, delegierter Rechtsakt ab 02.08.2028.",IF(K57="Hochrisiko Anhang I Abschnitt B UND Anhang III — gesondert prüfen","Uneinheitlich: Für den Anhang-I-Teil gilt Art. 2 Abs. 2 n. F. (nur Art. 6 Abs. 1, 60a, 102–112), für den Anhang-III-Teil der 02.12.2027. Juristisch klären.",IF(K57="Hochrisiko Anhang I Abschnitt A und Anhang III","02.12.2027 (Anhang III) / 02.08.2028 (Anhang I Abschnitt A) — Planungsannahme",IF(K57="Hochrisiko Anhang I Abschnitt A","02.08.2028 — Planungsannahme; Vorbehalt delegierter Rechtsakte nach Art. 2 Abs. 13 n. F. (bis 02.08.2027)",IF(K57="Hochrisiko Anhang III","02.12.2027 — Planungsannahme",IF(K57="Transparenzpflicht (Art. 50)","02.08.2026",IF(K57="Kein Hochrisiko (Art. 6 Abs. 3)","Registrierung nach Art. 49 Abs. 2; Bewertung VOR Inverkehrbringen dokumentieren","keine besonderen Pflichten aus den hier geprüften Kategorien — Art. 4 und übriges Recht (DSGVO, Arbeitsrecht, Urheberrecht) weiter prüfen"))))))))))</f>
        <v/>
      </c>
      <c r="M57" s="11" t="str">
        <f aca="false">IF(K57="","",IF(LEFT(K57,10)="noch offen","noch offen",IF(K57="Kein Hochrisiko (Art. 6 Abs. 3)","Ja — Art. 49 Abs. 2 (Anbieter); Bewertung VOR Inverkehrbringen dokumentieren (Art. 6 Abs. 4)",IF(K57="Hochrisiko Anhang I Abschnitt B (Sektorrecht)","Nein — Art. 49 ist nach Art. 2 Abs. 2 n. F. nicht anwendbar",IF(K57="Hochrisiko Anhang I Abschnitt A","Nein — Art. 49 Abs. 1 gilt nur für Anhang III",IF(AND(LEFT(G57,1)="2",ISNUMBER(SEARCH("Anhang III",K57))),"Nein — Registrierung auf nationaler Ebene (Art. 49 Abs. 5)",IF(ISNUMBER(SEARCH("Anhang III",K57)),"Ja — Art. 49 Abs. 1 (Anbieter); Behörden als Betreiber: Art. 49 Abs. 3","Nein")))))))</f>
        <v/>
      </c>
      <c r="N57" s="11" t="str">
        <f aca="false">IF(A57="","",IF(K57="VERBOTEN (Art. 5)","entfällt — Einsatz unzulässig",IF(K57="Hochrisiko Anhang I Abschnitt B (Sektorrecht)","Nein — Art. 50 ist nach Art. 2 Abs. 2 n. F. nicht anwendbar",IF(AND(J57&lt;&gt;"",J57&lt;&gt;"keiner"),"Ja — Art. 50 gilt zusätzlich ab 02.08.2026","Nein"))))</f>
        <v/>
      </c>
      <c r="O57" s="7"/>
      <c r="P57" s="11" t="str">
        <f aca="false">IF(K57="","",IF(LEFT(K57,10)="noch offen","Prüfung unvollständig",IF(O57="Ja","Einstufung bestätigt",IF(O57="Nein","Juristische Prüfung erforderlich","Arbeitsannahme — nicht bestätigt"))))</f>
        <v/>
      </c>
      <c r="Q57" s="10"/>
      <c r="R57" s="12"/>
      <c r="S57" s="10"/>
      <c r="T57" s="10"/>
    </row>
    <row r="58" customFormat="false" ht="25.5" hidden="false" customHeight="true" outlineLevel="0" collapsed="false">
      <c r="A58" s="7"/>
      <c r="B58" s="11" t="str">
        <f aca="false">IF(A58="","",IFERROR(INDEX('01_KI-Inventar'!$B$6:$B$65,MATCH(A58,'01_KI-Inventar'!$A$6:$A$65,0)),""))</f>
        <v/>
      </c>
      <c r="C58" s="7"/>
      <c r="D58" s="7"/>
      <c r="E58" s="7"/>
      <c r="F58" s="10"/>
      <c r="G58" s="7"/>
      <c r="H58" s="7"/>
      <c r="I58" s="7"/>
      <c r="J58" s="7"/>
      <c r="K58" s="11" t="str">
        <f aca="false">IF(A58="","",IF(OR(C58="",D58="",G58="",J58="",COUNTIF(C58:D58,"Prüfung offen")&gt;0,COUNTIF(H58:I58,"Prüfung offen")&gt;0,AND(D58="Ja",OR(E58="",E58="noch offen")),AND(G58&lt;&gt;"keiner",OR(H58="",AND(H58&lt;&gt;"Ja",I58="")))),"noch offen — Angaben unvollständig",IF(C58="Ja","VERBOTEN (Art. 5)",IF(AND(D58="Ja",E58="Abschnitt B",G58&lt;&gt;"keiner"),"Hochrisiko Anhang I Abschnitt B UND Anhang III — gesondert prüfen",IF(AND(D58="Ja",E58="Abschnitt B"),"Hochrisiko Anhang I Abschnitt B (Sektorrecht)",IF(AND(D58="Ja",G58&lt;&gt;"keiner"),"Hochrisiko Anhang I Abschnitt A und Anhang III",IF(D58="Ja","Hochrisiko Anhang I Abschnitt A",IF(G58&lt;&gt;"keiner",IF(H58="Ja","Hochrisiko Anhang III",IF(I58="Ja","Kein Hochrisiko (Art. 6 Abs. 3)","Hochrisiko Anhang III")),IF(J58&lt;&gt;"keiner","Transparenzpflicht (Art. 50)","Geringes Risiko")))))))))</f>
        <v/>
      </c>
      <c r="L58" s="11" t="str">
        <f aca="false">IF(K58="","",IF(K58="VERBOTEN (Art. 5)","02.02.2025 (NCII/CSAM: 02.12.2026)",IF(LEFT(K58,10)="noch offen","keine Frist — Einstufung zuerst abschließen",IF(K58="Hochrisiko Anhang I Abschnitt B (Sektorrecht)","Kapitel III gilt nicht. Es gelten nur Art. 6 Abs. 1, Art. 60a und Art. 102–112 (Art. 2 Abs. 2 n. F.). Frist und Pflichten folgen aus dem Sektorrecht — bei Maschinen: Anhang III VO (EU) 2023/1230, delegierter Rechtsakt ab 02.08.2028.",IF(K58="Hochrisiko Anhang I Abschnitt B UND Anhang III — gesondert prüfen","Uneinheitlich: Für den Anhang-I-Teil gilt Art. 2 Abs. 2 n. F. (nur Art. 6 Abs. 1, 60a, 102–112), für den Anhang-III-Teil der 02.12.2027. Juristisch klären.",IF(K58="Hochrisiko Anhang I Abschnitt A und Anhang III","02.12.2027 (Anhang III) / 02.08.2028 (Anhang I Abschnitt A) — Planungsannahme",IF(K58="Hochrisiko Anhang I Abschnitt A","02.08.2028 — Planungsannahme; Vorbehalt delegierter Rechtsakte nach Art. 2 Abs. 13 n. F. (bis 02.08.2027)",IF(K58="Hochrisiko Anhang III","02.12.2027 — Planungsannahme",IF(K58="Transparenzpflicht (Art. 50)","02.08.2026",IF(K58="Kein Hochrisiko (Art. 6 Abs. 3)","Registrierung nach Art. 49 Abs. 2; Bewertung VOR Inverkehrbringen dokumentieren","keine besonderen Pflichten aus den hier geprüften Kategorien — Art. 4 und übriges Recht (DSGVO, Arbeitsrecht, Urheberrecht) weiter prüfen"))))))))))</f>
        <v/>
      </c>
      <c r="M58" s="11" t="str">
        <f aca="false">IF(K58="","",IF(LEFT(K58,10)="noch offen","noch offen",IF(K58="Kein Hochrisiko (Art. 6 Abs. 3)","Ja — Art. 49 Abs. 2 (Anbieter); Bewertung VOR Inverkehrbringen dokumentieren (Art. 6 Abs. 4)",IF(K58="Hochrisiko Anhang I Abschnitt B (Sektorrecht)","Nein — Art. 49 ist nach Art. 2 Abs. 2 n. F. nicht anwendbar",IF(K58="Hochrisiko Anhang I Abschnitt A","Nein — Art. 49 Abs. 1 gilt nur für Anhang III",IF(AND(LEFT(G58,1)="2",ISNUMBER(SEARCH("Anhang III",K58))),"Nein — Registrierung auf nationaler Ebene (Art. 49 Abs. 5)",IF(ISNUMBER(SEARCH("Anhang III",K58)),"Ja — Art. 49 Abs. 1 (Anbieter); Behörden als Betreiber: Art. 49 Abs. 3","Nein")))))))</f>
        <v/>
      </c>
      <c r="N58" s="11" t="str">
        <f aca="false">IF(A58="","",IF(K58="VERBOTEN (Art. 5)","entfällt — Einsatz unzulässig",IF(K58="Hochrisiko Anhang I Abschnitt B (Sektorrecht)","Nein — Art. 50 ist nach Art. 2 Abs. 2 n. F. nicht anwendbar",IF(AND(J58&lt;&gt;"",J58&lt;&gt;"keiner"),"Ja — Art. 50 gilt zusätzlich ab 02.08.2026","Nein"))))</f>
        <v/>
      </c>
      <c r="O58" s="7"/>
      <c r="P58" s="11" t="str">
        <f aca="false">IF(K58="","",IF(LEFT(K58,10)="noch offen","Prüfung unvollständig",IF(O58="Ja","Einstufung bestätigt",IF(O58="Nein","Juristische Prüfung erforderlich","Arbeitsannahme — nicht bestätigt"))))</f>
        <v/>
      </c>
      <c r="Q58" s="10"/>
      <c r="R58" s="12"/>
      <c r="S58" s="10"/>
      <c r="T58" s="10"/>
    </row>
    <row r="59" customFormat="false" ht="25.5" hidden="false" customHeight="true" outlineLevel="0" collapsed="false">
      <c r="A59" s="7"/>
      <c r="B59" s="11" t="str">
        <f aca="false">IF(A59="","",IFERROR(INDEX('01_KI-Inventar'!$B$6:$B$65,MATCH(A59,'01_KI-Inventar'!$A$6:$A$65,0)),""))</f>
        <v/>
      </c>
      <c r="C59" s="7"/>
      <c r="D59" s="7"/>
      <c r="E59" s="7"/>
      <c r="F59" s="10"/>
      <c r="G59" s="7"/>
      <c r="H59" s="7"/>
      <c r="I59" s="7"/>
      <c r="J59" s="7"/>
      <c r="K59" s="11" t="str">
        <f aca="false">IF(A59="","",IF(OR(C59="",D59="",G59="",J59="",COUNTIF(C59:D59,"Prüfung offen")&gt;0,COUNTIF(H59:I59,"Prüfung offen")&gt;0,AND(D59="Ja",OR(E59="",E59="noch offen")),AND(G59&lt;&gt;"keiner",OR(H59="",AND(H59&lt;&gt;"Ja",I59="")))),"noch offen — Angaben unvollständig",IF(C59="Ja","VERBOTEN (Art. 5)",IF(AND(D59="Ja",E59="Abschnitt B",G59&lt;&gt;"keiner"),"Hochrisiko Anhang I Abschnitt B UND Anhang III — gesondert prüfen",IF(AND(D59="Ja",E59="Abschnitt B"),"Hochrisiko Anhang I Abschnitt B (Sektorrecht)",IF(AND(D59="Ja",G59&lt;&gt;"keiner"),"Hochrisiko Anhang I Abschnitt A und Anhang III",IF(D59="Ja","Hochrisiko Anhang I Abschnitt A",IF(G59&lt;&gt;"keiner",IF(H59="Ja","Hochrisiko Anhang III",IF(I59="Ja","Kein Hochrisiko (Art. 6 Abs. 3)","Hochrisiko Anhang III")),IF(J59&lt;&gt;"keiner","Transparenzpflicht (Art. 50)","Geringes Risiko")))))))))</f>
        <v/>
      </c>
      <c r="L59" s="11" t="str">
        <f aca="false">IF(K59="","",IF(K59="VERBOTEN (Art. 5)","02.02.2025 (NCII/CSAM: 02.12.2026)",IF(LEFT(K59,10)="noch offen","keine Frist — Einstufung zuerst abschließen",IF(K59="Hochrisiko Anhang I Abschnitt B (Sektorrecht)","Kapitel III gilt nicht. Es gelten nur Art. 6 Abs. 1, Art. 60a und Art. 102–112 (Art. 2 Abs. 2 n. F.). Frist und Pflichten folgen aus dem Sektorrecht — bei Maschinen: Anhang III VO (EU) 2023/1230, delegierter Rechtsakt ab 02.08.2028.",IF(K59="Hochrisiko Anhang I Abschnitt B UND Anhang III — gesondert prüfen","Uneinheitlich: Für den Anhang-I-Teil gilt Art. 2 Abs. 2 n. F. (nur Art. 6 Abs. 1, 60a, 102–112), für den Anhang-III-Teil der 02.12.2027. Juristisch klären.",IF(K59="Hochrisiko Anhang I Abschnitt A und Anhang III","02.12.2027 (Anhang III) / 02.08.2028 (Anhang I Abschnitt A) — Planungsannahme",IF(K59="Hochrisiko Anhang I Abschnitt A","02.08.2028 — Planungsannahme; Vorbehalt delegierter Rechtsakte nach Art. 2 Abs. 13 n. F. (bis 02.08.2027)",IF(K59="Hochrisiko Anhang III","02.12.2027 — Planungsannahme",IF(K59="Transparenzpflicht (Art. 50)","02.08.2026",IF(K59="Kein Hochrisiko (Art. 6 Abs. 3)","Registrierung nach Art. 49 Abs. 2; Bewertung VOR Inverkehrbringen dokumentieren","keine besonderen Pflichten aus den hier geprüften Kategorien — Art. 4 und übriges Recht (DSGVO, Arbeitsrecht, Urheberrecht) weiter prüfen"))))))))))</f>
        <v/>
      </c>
      <c r="M59" s="11" t="str">
        <f aca="false">IF(K59="","",IF(LEFT(K59,10)="noch offen","noch offen",IF(K59="Kein Hochrisiko (Art. 6 Abs. 3)","Ja — Art. 49 Abs. 2 (Anbieter); Bewertung VOR Inverkehrbringen dokumentieren (Art. 6 Abs. 4)",IF(K59="Hochrisiko Anhang I Abschnitt B (Sektorrecht)","Nein — Art. 49 ist nach Art. 2 Abs. 2 n. F. nicht anwendbar",IF(K59="Hochrisiko Anhang I Abschnitt A","Nein — Art. 49 Abs. 1 gilt nur für Anhang III",IF(AND(LEFT(G59,1)="2",ISNUMBER(SEARCH("Anhang III",K59))),"Nein — Registrierung auf nationaler Ebene (Art. 49 Abs. 5)",IF(ISNUMBER(SEARCH("Anhang III",K59)),"Ja — Art. 49 Abs. 1 (Anbieter); Behörden als Betreiber: Art. 49 Abs. 3","Nein")))))))</f>
        <v/>
      </c>
      <c r="N59" s="11" t="str">
        <f aca="false">IF(A59="","",IF(K59="VERBOTEN (Art. 5)","entfällt — Einsatz unzulässig",IF(K59="Hochrisiko Anhang I Abschnitt B (Sektorrecht)","Nein — Art. 50 ist nach Art. 2 Abs. 2 n. F. nicht anwendbar",IF(AND(J59&lt;&gt;"",J59&lt;&gt;"keiner"),"Ja — Art. 50 gilt zusätzlich ab 02.08.2026","Nein"))))</f>
        <v/>
      </c>
      <c r="O59" s="7"/>
      <c r="P59" s="11" t="str">
        <f aca="false">IF(K59="","",IF(LEFT(K59,10)="noch offen","Prüfung unvollständig",IF(O59="Ja","Einstufung bestätigt",IF(O59="Nein","Juristische Prüfung erforderlich","Arbeitsannahme — nicht bestätigt"))))</f>
        <v/>
      </c>
      <c r="Q59" s="10"/>
      <c r="R59" s="12"/>
      <c r="S59" s="10"/>
      <c r="T59" s="10"/>
    </row>
    <row r="60" customFormat="false" ht="25.5" hidden="false" customHeight="true" outlineLevel="0" collapsed="false">
      <c r="A60" s="7"/>
      <c r="B60" s="11" t="str">
        <f aca="false">IF(A60="","",IFERROR(INDEX('01_KI-Inventar'!$B$6:$B$65,MATCH(A60,'01_KI-Inventar'!$A$6:$A$65,0)),""))</f>
        <v/>
      </c>
      <c r="C60" s="7"/>
      <c r="D60" s="7"/>
      <c r="E60" s="7"/>
      <c r="F60" s="10"/>
      <c r="G60" s="7"/>
      <c r="H60" s="7"/>
      <c r="I60" s="7"/>
      <c r="J60" s="7"/>
      <c r="K60" s="11" t="str">
        <f aca="false">IF(A60="","",IF(OR(C60="",D60="",G60="",J60="",COUNTIF(C60:D60,"Prüfung offen")&gt;0,COUNTIF(H60:I60,"Prüfung offen")&gt;0,AND(D60="Ja",OR(E60="",E60="noch offen")),AND(G60&lt;&gt;"keiner",OR(H60="",AND(H60&lt;&gt;"Ja",I60="")))),"noch offen — Angaben unvollständig",IF(C60="Ja","VERBOTEN (Art. 5)",IF(AND(D60="Ja",E60="Abschnitt B",G60&lt;&gt;"keiner"),"Hochrisiko Anhang I Abschnitt B UND Anhang III — gesondert prüfen",IF(AND(D60="Ja",E60="Abschnitt B"),"Hochrisiko Anhang I Abschnitt B (Sektorrecht)",IF(AND(D60="Ja",G60&lt;&gt;"keiner"),"Hochrisiko Anhang I Abschnitt A und Anhang III",IF(D60="Ja","Hochrisiko Anhang I Abschnitt A",IF(G60&lt;&gt;"keiner",IF(H60="Ja","Hochrisiko Anhang III",IF(I60="Ja","Kein Hochrisiko (Art. 6 Abs. 3)","Hochrisiko Anhang III")),IF(J60&lt;&gt;"keiner","Transparenzpflicht (Art. 50)","Geringes Risiko")))))))))</f>
        <v/>
      </c>
      <c r="L60" s="11" t="str">
        <f aca="false">IF(K60="","",IF(K60="VERBOTEN (Art. 5)","02.02.2025 (NCII/CSAM: 02.12.2026)",IF(LEFT(K60,10)="noch offen","keine Frist — Einstufung zuerst abschließen",IF(K60="Hochrisiko Anhang I Abschnitt B (Sektorrecht)","Kapitel III gilt nicht. Es gelten nur Art. 6 Abs. 1, Art. 60a und Art. 102–112 (Art. 2 Abs. 2 n. F.). Frist und Pflichten folgen aus dem Sektorrecht — bei Maschinen: Anhang III VO (EU) 2023/1230, delegierter Rechtsakt ab 02.08.2028.",IF(K60="Hochrisiko Anhang I Abschnitt B UND Anhang III — gesondert prüfen","Uneinheitlich: Für den Anhang-I-Teil gilt Art. 2 Abs. 2 n. F. (nur Art. 6 Abs. 1, 60a, 102–112), für den Anhang-III-Teil der 02.12.2027. Juristisch klären.",IF(K60="Hochrisiko Anhang I Abschnitt A und Anhang III","02.12.2027 (Anhang III) / 02.08.2028 (Anhang I Abschnitt A) — Planungsannahme",IF(K60="Hochrisiko Anhang I Abschnitt A","02.08.2028 — Planungsannahme; Vorbehalt delegierter Rechtsakte nach Art. 2 Abs. 13 n. F. (bis 02.08.2027)",IF(K60="Hochrisiko Anhang III","02.12.2027 — Planungsannahme",IF(K60="Transparenzpflicht (Art. 50)","02.08.2026",IF(K60="Kein Hochrisiko (Art. 6 Abs. 3)","Registrierung nach Art. 49 Abs. 2; Bewertung VOR Inverkehrbringen dokumentieren","keine besonderen Pflichten aus den hier geprüften Kategorien — Art. 4 und übriges Recht (DSGVO, Arbeitsrecht, Urheberrecht) weiter prüfen"))))))))))</f>
        <v/>
      </c>
      <c r="M60" s="11" t="str">
        <f aca="false">IF(K60="","",IF(LEFT(K60,10)="noch offen","noch offen",IF(K60="Kein Hochrisiko (Art. 6 Abs. 3)","Ja — Art. 49 Abs. 2 (Anbieter); Bewertung VOR Inverkehrbringen dokumentieren (Art. 6 Abs. 4)",IF(K60="Hochrisiko Anhang I Abschnitt B (Sektorrecht)","Nein — Art. 49 ist nach Art. 2 Abs. 2 n. F. nicht anwendbar",IF(K60="Hochrisiko Anhang I Abschnitt A","Nein — Art. 49 Abs. 1 gilt nur für Anhang III",IF(AND(LEFT(G60,1)="2",ISNUMBER(SEARCH("Anhang III",K60))),"Nein — Registrierung auf nationaler Ebene (Art. 49 Abs. 5)",IF(ISNUMBER(SEARCH("Anhang III",K60)),"Ja — Art. 49 Abs. 1 (Anbieter); Behörden als Betreiber: Art. 49 Abs. 3","Nein")))))))</f>
        <v/>
      </c>
      <c r="N60" s="11" t="str">
        <f aca="false">IF(A60="","",IF(K60="VERBOTEN (Art. 5)","entfällt — Einsatz unzulässig",IF(K60="Hochrisiko Anhang I Abschnitt B (Sektorrecht)","Nein — Art. 50 ist nach Art. 2 Abs. 2 n. F. nicht anwendbar",IF(AND(J60&lt;&gt;"",J60&lt;&gt;"keiner"),"Ja — Art. 50 gilt zusätzlich ab 02.08.2026","Nein"))))</f>
        <v/>
      </c>
      <c r="O60" s="7"/>
      <c r="P60" s="11" t="str">
        <f aca="false">IF(K60="","",IF(LEFT(K60,10)="noch offen","Prüfung unvollständig",IF(O60="Ja","Einstufung bestätigt",IF(O60="Nein","Juristische Prüfung erforderlich","Arbeitsannahme — nicht bestätigt"))))</f>
        <v/>
      </c>
      <c r="Q60" s="10"/>
      <c r="R60" s="12"/>
      <c r="S60" s="10"/>
      <c r="T60" s="10"/>
    </row>
    <row r="61" customFormat="false" ht="25.5" hidden="false" customHeight="true" outlineLevel="0" collapsed="false">
      <c r="A61" s="7"/>
      <c r="B61" s="11" t="str">
        <f aca="false">IF(A61="","",IFERROR(INDEX('01_KI-Inventar'!$B$6:$B$65,MATCH(A61,'01_KI-Inventar'!$A$6:$A$65,0)),""))</f>
        <v/>
      </c>
      <c r="C61" s="7"/>
      <c r="D61" s="7"/>
      <c r="E61" s="7"/>
      <c r="F61" s="10"/>
      <c r="G61" s="7"/>
      <c r="H61" s="7"/>
      <c r="I61" s="7"/>
      <c r="J61" s="7"/>
      <c r="K61" s="11" t="str">
        <f aca="false">IF(A61="","",IF(OR(C61="",D61="",G61="",J61="",COUNTIF(C61:D61,"Prüfung offen")&gt;0,COUNTIF(H61:I61,"Prüfung offen")&gt;0,AND(D61="Ja",OR(E61="",E61="noch offen")),AND(G61&lt;&gt;"keiner",OR(H61="",AND(H61&lt;&gt;"Ja",I61="")))),"noch offen — Angaben unvollständig",IF(C61="Ja","VERBOTEN (Art. 5)",IF(AND(D61="Ja",E61="Abschnitt B",G61&lt;&gt;"keiner"),"Hochrisiko Anhang I Abschnitt B UND Anhang III — gesondert prüfen",IF(AND(D61="Ja",E61="Abschnitt B"),"Hochrisiko Anhang I Abschnitt B (Sektorrecht)",IF(AND(D61="Ja",G61&lt;&gt;"keiner"),"Hochrisiko Anhang I Abschnitt A und Anhang III",IF(D61="Ja","Hochrisiko Anhang I Abschnitt A",IF(G61&lt;&gt;"keiner",IF(H61="Ja","Hochrisiko Anhang III",IF(I61="Ja","Kein Hochrisiko (Art. 6 Abs. 3)","Hochrisiko Anhang III")),IF(J61&lt;&gt;"keiner","Transparenzpflicht (Art. 50)","Geringes Risiko")))))))))</f>
        <v/>
      </c>
      <c r="L61" s="11" t="str">
        <f aca="false">IF(K61="","",IF(K61="VERBOTEN (Art. 5)","02.02.2025 (NCII/CSAM: 02.12.2026)",IF(LEFT(K61,10)="noch offen","keine Frist — Einstufung zuerst abschließen",IF(K61="Hochrisiko Anhang I Abschnitt B (Sektorrecht)","Kapitel III gilt nicht. Es gelten nur Art. 6 Abs. 1, Art. 60a und Art. 102–112 (Art. 2 Abs. 2 n. F.). Frist und Pflichten folgen aus dem Sektorrecht — bei Maschinen: Anhang III VO (EU) 2023/1230, delegierter Rechtsakt ab 02.08.2028.",IF(K61="Hochrisiko Anhang I Abschnitt B UND Anhang III — gesondert prüfen","Uneinheitlich: Für den Anhang-I-Teil gilt Art. 2 Abs. 2 n. F. (nur Art. 6 Abs. 1, 60a, 102–112), für den Anhang-III-Teil der 02.12.2027. Juristisch klären.",IF(K61="Hochrisiko Anhang I Abschnitt A und Anhang III","02.12.2027 (Anhang III) / 02.08.2028 (Anhang I Abschnitt A) — Planungsannahme",IF(K61="Hochrisiko Anhang I Abschnitt A","02.08.2028 — Planungsannahme; Vorbehalt delegierter Rechtsakte nach Art. 2 Abs. 13 n. F. (bis 02.08.2027)",IF(K61="Hochrisiko Anhang III","02.12.2027 — Planungsannahme",IF(K61="Transparenzpflicht (Art. 50)","02.08.2026",IF(K61="Kein Hochrisiko (Art. 6 Abs. 3)","Registrierung nach Art. 49 Abs. 2; Bewertung VOR Inverkehrbringen dokumentieren","keine besonderen Pflichten aus den hier geprüften Kategorien — Art. 4 und übriges Recht (DSGVO, Arbeitsrecht, Urheberrecht) weiter prüfen"))))))))))</f>
        <v/>
      </c>
      <c r="M61" s="11" t="str">
        <f aca="false">IF(K61="","",IF(LEFT(K61,10)="noch offen","noch offen",IF(K61="Kein Hochrisiko (Art. 6 Abs. 3)","Ja — Art. 49 Abs. 2 (Anbieter); Bewertung VOR Inverkehrbringen dokumentieren (Art. 6 Abs. 4)",IF(K61="Hochrisiko Anhang I Abschnitt B (Sektorrecht)","Nein — Art. 49 ist nach Art. 2 Abs. 2 n. F. nicht anwendbar",IF(K61="Hochrisiko Anhang I Abschnitt A","Nein — Art. 49 Abs. 1 gilt nur für Anhang III",IF(AND(LEFT(G61,1)="2",ISNUMBER(SEARCH("Anhang III",K61))),"Nein — Registrierung auf nationaler Ebene (Art. 49 Abs. 5)",IF(ISNUMBER(SEARCH("Anhang III",K61)),"Ja — Art. 49 Abs. 1 (Anbieter); Behörden als Betreiber: Art. 49 Abs. 3","Nein")))))))</f>
        <v/>
      </c>
      <c r="N61" s="11" t="str">
        <f aca="false">IF(A61="","",IF(K61="VERBOTEN (Art. 5)","entfällt — Einsatz unzulässig",IF(K61="Hochrisiko Anhang I Abschnitt B (Sektorrecht)","Nein — Art. 50 ist nach Art. 2 Abs. 2 n. F. nicht anwendbar",IF(AND(J61&lt;&gt;"",J61&lt;&gt;"keiner"),"Ja — Art. 50 gilt zusätzlich ab 02.08.2026","Nein"))))</f>
        <v/>
      </c>
      <c r="O61" s="7"/>
      <c r="P61" s="11" t="str">
        <f aca="false">IF(K61="","",IF(LEFT(K61,10)="noch offen","Prüfung unvollständig",IF(O61="Ja","Einstufung bestätigt",IF(O61="Nein","Juristische Prüfung erforderlich","Arbeitsannahme — nicht bestätigt"))))</f>
        <v/>
      </c>
      <c r="Q61" s="10"/>
      <c r="R61" s="12"/>
      <c r="S61" s="10"/>
      <c r="T61" s="10"/>
    </row>
    <row r="62" customFormat="false" ht="25.5" hidden="false" customHeight="true" outlineLevel="0" collapsed="false">
      <c r="A62" s="7"/>
      <c r="B62" s="11" t="str">
        <f aca="false">IF(A62="","",IFERROR(INDEX('01_KI-Inventar'!$B$6:$B$65,MATCH(A62,'01_KI-Inventar'!$A$6:$A$65,0)),""))</f>
        <v/>
      </c>
      <c r="C62" s="7"/>
      <c r="D62" s="7"/>
      <c r="E62" s="7"/>
      <c r="F62" s="10"/>
      <c r="G62" s="7"/>
      <c r="H62" s="7"/>
      <c r="I62" s="7"/>
      <c r="J62" s="7"/>
      <c r="K62" s="11" t="str">
        <f aca="false">IF(A62="","",IF(OR(C62="",D62="",G62="",J62="",COUNTIF(C62:D62,"Prüfung offen")&gt;0,COUNTIF(H62:I62,"Prüfung offen")&gt;0,AND(D62="Ja",OR(E62="",E62="noch offen")),AND(G62&lt;&gt;"keiner",OR(H62="",AND(H62&lt;&gt;"Ja",I62="")))),"noch offen — Angaben unvollständig",IF(C62="Ja","VERBOTEN (Art. 5)",IF(AND(D62="Ja",E62="Abschnitt B",G62&lt;&gt;"keiner"),"Hochrisiko Anhang I Abschnitt B UND Anhang III — gesondert prüfen",IF(AND(D62="Ja",E62="Abschnitt B"),"Hochrisiko Anhang I Abschnitt B (Sektorrecht)",IF(AND(D62="Ja",G62&lt;&gt;"keiner"),"Hochrisiko Anhang I Abschnitt A und Anhang III",IF(D62="Ja","Hochrisiko Anhang I Abschnitt A",IF(G62&lt;&gt;"keiner",IF(H62="Ja","Hochrisiko Anhang III",IF(I62="Ja","Kein Hochrisiko (Art. 6 Abs. 3)","Hochrisiko Anhang III")),IF(J62&lt;&gt;"keiner","Transparenzpflicht (Art. 50)","Geringes Risiko")))))))))</f>
        <v/>
      </c>
      <c r="L62" s="11" t="str">
        <f aca="false">IF(K62="","",IF(K62="VERBOTEN (Art. 5)","02.02.2025 (NCII/CSAM: 02.12.2026)",IF(LEFT(K62,10)="noch offen","keine Frist — Einstufung zuerst abschließen",IF(K62="Hochrisiko Anhang I Abschnitt B (Sektorrecht)","Kapitel III gilt nicht. Es gelten nur Art. 6 Abs. 1, Art. 60a und Art. 102–112 (Art. 2 Abs. 2 n. F.). Frist und Pflichten folgen aus dem Sektorrecht — bei Maschinen: Anhang III VO (EU) 2023/1230, delegierter Rechtsakt ab 02.08.2028.",IF(K62="Hochrisiko Anhang I Abschnitt B UND Anhang III — gesondert prüfen","Uneinheitlich: Für den Anhang-I-Teil gilt Art. 2 Abs. 2 n. F. (nur Art. 6 Abs. 1, 60a, 102–112), für den Anhang-III-Teil der 02.12.2027. Juristisch klären.",IF(K62="Hochrisiko Anhang I Abschnitt A und Anhang III","02.12.2027 (Anhang III) / 02.08.2028 (Anhang I Abschnitt A) — Planungsannahme",IF(K62="Hochrisiko Anhang I Abschnitt A","02.08.2028 — Planungsannahme; Vorbehalt delegierter Rechtsakte nach Art. 2 Abs. 13 n. F. (bis 02.08.2027)",IF(K62="Hochrisiko Anhang III","02.12.2027 — Planungsannahme",IF(K62="Transparenzpflicht (Art. 50)","02.08.2026",IF(K62="Kein Hochrisiko (Art. 6 Abs. 3)","Registrierung nach Art. 49 Abs. 2; Bewertung VOR Inverkehrbringen dokumentieren","keine besonderen Pflichten aus den hier geprüften Kategorien — Art. 4 und übriges Recht (DSGVO, Arbeitsrecht, Urheberrecht) weiter prüfen"))))))))))</f>
        <v/>
      </c>
      <c r="M62" s="11" t="str">
        <f aca="false">IF(K62="","",IF(LEFT(K62,10)="noch offen","noch offen",IF(K62="Kein Hochrisiko (Art. 6 Abs. 3)","Ja — Art. 49 Abs. 2 (Anbieter); Bewertung VOR Inverkehrbringen dokumentieren (Art. 6 Abs. 4)",IF(K62="Hochrisiko Anhang I Abschnitt B (Sektorrecht)","Nein — Art. 49 ist nach Art. 2 Abs. 2 n. F. nicht anwendbar",IF(K62="Hochrisiko Anhang I Abschnitt A","Nein — Art. 49 Abs. 1 gilt nur für Anhang III",IF(AND(LEFT(G62,1)="2",ISNUMBER(SEARCH("Anhang III",K62))),"Nein — Registrierung auf nationaler Ebene (Art. 49 Abs. 5)",IF(ISNUMBER(SEARCH("Anhang III",K62)),"Ja — Art. 49 Abs. 1 (Anbieter); Behörden als Betreiber: Art. 49 Abs. 3","Nein")))))))</f>
        <v/>
      </c>
      <c r="N62" s="11" t="str">
        <f aca="false">IF(A62="","",IF(K62="VERBOTEN (Art. 5)","entfällt — Einsatz unzulässig",IF(K62="Hochrisiko Anhang I Abschnitt B (Sektorrecht)","Nein — Art. 50 ist nach Art. 2 Abs. 2 n. F. nicht anwendbar",IF(AND(J62&lt;&gt;"",J62&lt;&gt;"keiner"),"Ja — Art. 50 gilt zusätzlich ab 02.08.2026","Nein"))))</f>
        <v/>
      </c>
      <c r="O62" s="7"/>
      <c r="P62" s="11" t="str">
        <f aca="false">IF(K62="","",IF(LEFT(K62,10)="noch offen","Prüfung unvollständig",IF(O62="Ja","Einstufung bestätigt",IF(O62="Nein","Juristische Prüfung erforderlich","Arbeitsannahme — nicht bestätigt"))))</f>
        <v/>
      </c>
      <c r="Q62" s="10"/>
      <c r="R62" s="12"/>
      <c r="S62" s="10"/>
      <c r="T62" s="10"/>
    </row>
    <row r="63" customFormat="false" ht="25.5" hidden="false" customHeight="true" outlineLevel="0" collapsed="false">
      <c r="A63" s="7"/>
      <c r="B63" s="11" t="str">
        <f aca="false">IF(A63="","",IFERROR(INDEX('01_KI-Inventar'!$B$6:$B$65,MATCH(A63,'01_KI-Inventar'!$A$6:$A$65,0)),""))</f>
        <v/>
      </c>
      <c r="C63" s="7"/>
      <c r="D63" s="7"/>
      <c r="E63" s="7"/>
      <c r="F63" s="10"/>
      <c r="G63" s="7"/>
      <c r="H63" s="7"/>
      <c r="I63" s="7"/>
      <c r="J63" s="7"/>
      <c r="K63" s="11" t="str">
        <f aca="false">IF(A63="","",IF(OR(C63="",D63="",G63="",J63="",COUNTIF(C63:D63,"Prüfung offen")&gt;0,COUNTIF(H63:I63,"Prüfung offen")&gt;0,AND(D63="Ja",OR(E63="",E63="noch offen")),AND(G63&lt;&gt;"keiner",OR(H63="",AND(H63&lt;&gt;"Ja",I63="")))),"noch offen — Angaben unvollständig",IF(C63="Ja","VERBOTEN (Art. 5)",IF(AND(D63="Ja",E63="Abschnitt B",G63&lt;&gt;"keiner"),"Hochrisiko Anhang I Abschnitt B UND Anhang III — gesondert prüfen",IF(AND(D63="Ja",E63="Abschnitt B"),"Hochrisiko Anhang I Abschnitt B (Sektorrecht)",IF(AND(D63="Ja",G63&lt;&gt;"keiner"),"Hochrisiko Anhang I Abschnitt A und Anhang III",IF(D63="Ja","Hochrisiko Anhang I Abschnitt A",IF(G63&lt;&gt;"keiner",IF(H63="Ja","Hochrisiko Anhang III",IF(I63="Ja","Kein Hochrisiko (Art. 6 Abs. 3)","Hochrisiko Anhang III")),IF(J63&lt;&gt;"keiner","Transparenzpflicht (Art. 50)","Geringes Risiko")))))))))</f>
        <v/>
      </c>
      <c r="L63" s="11" t="str">
        <f aca="false">IF(K63="","",IF(K63="VERBOTEN (Art. 5)","02.02.2025 (NCII/CSAM: 02.12.2026)",IF(LEFT(K63,10)="noch offen","keine Frist — Einstufung zuerst abschließen",IF(K63="Hochrisiko Anhang I Abschnitt B (Sektorrecht)","Kapitel III gilt nicht. Es gelten nur Art. 6 Abs. 1, Art. 60a und Art. 102–112 (Art. 2 Abs. 2 n. F.). Frist und Pflichten folgen aus dem Sektorrecht — bei Maschinen: Anhang III VO (EU) 2023/1230, delegierter Rechtsakt ab 02.08.2028.",IF(K63="Hochrisiko Anhang I Abschnitt B UND Anhang III — gesondert prüfen","Uneinheitlich: Für den Anhang-I-Teil gilt Art. 2 Abs. 2 n. F. (nur Art. 6 Abs. 1, 60a, 102–112), für den Anhang-III-Teil der 02.12.2027. Juristisch klären.",IF(K63="Hochrisiko Anhang I Abschnitt A und Anhang III","02.12.2027 (Anhang III) / 02.08.2028 (Anhang I Abschnitt A) — Planungsannahme",IF(K63="Hochrisiko Anhang I Abschnitt A","02.08.2028 — Planungsannahme; Vorbehalt delegierter Rechtsakte nach Art. 2 Abs. 13 n. F. (bis 02.08.2027)",IF(K63="Hochrisiko Anhang III","02.12.2027 — Planungsannahme",IF(K63="Transparenzpflicht (Art. 50)","02.08.2026",IF(K63="Kein Hochrisiko (Art. 6 Abs. 3)","Registrierung nach Art. 49 Abs. 2; Bewertung VOR Inverkehrbringen dokumentieren","keine besonderen Pflichten aus den hier geprüften Kategorien — Art. 4 und übriges Recht (DSGVO, Arbeitsrecht, Urheberrecht) weiter prüfen"))))))))))</f>
        <v/>
      </c>
      <c r="M63" s="11" t="str">
        <f aca="false">IF(K63="","",IF(LEFT(K63,10)="noch offen","noch offen",IF(K63="Kein Hochrisiko (Art. 6 Abs. 3)","Ja — Art. 49 Abs. 2 (Anbieter); Bewertung VOR Inverkehrbringen dokumentieren (Art. 6 Abs. 4)",IF(K63="Hochrisiko Anhang I Abschnitt B (Sektorrecht)","Nein — Art. 49 ist nach Art. 2 Abs. 2 n. F. nicht anwendbar",IF(K63="Hochrisiko Anhang I Abschnitt A","Nein — Art. 49 Abs. 1 gilt nur für Anhang III",IF(AND(LEFT(G63,1)="2",ISNUMBER(SEARCH("Anhang III",K63))),"Nein — Registrierung auf nationaler Ebene (Art. 49 Abs. 5)",IF(ISNUMBER(SEARCH("Anhang III",K63)),"Ja — Art. 49 Abs. 1 (Anbieter); Behörden als Betreiber: Art. 49 Abs. 3","Nein")))))))</f>
        <v/>
      </c>
      <c r="N63" s="11" t="str">
        <f aca="false">IF(A63="","",IF(K63="VERBOTEN (Art. 5)","entfällt — Einsatz unzulässig",IF(K63="Hochrisiko Anhang I Abschnitt B (Sektorrecht)","Nein — Art. 50 ist nach Art. 2 Abs. 2 n. F. nicht anwendbar",IF(AND(J63&lt;&gt;"",J63&lt;&gt;"keiner"),"Ja — Art. 50 gilt zusätzlich ab 02.08.2026","Nein"))))</f>
        <v/>
      </c>
      <c r="O63" s="7"/>
      <c r="P63" s="11" t="str">
        <f aca="false">IF(K63="","",IF(LEFT(K63,10)="noch offen","Prüfung unvollständig",IF(O63="Ja","Einstufung bestätigt",IF(O63="Nein","Juristische Prüfung erforderlich","Arbeitsannahme — nicht bestätigt"))))</f>
        <v/>
      </c>
      <c r="Q63" s="10"/>
      <c r="R63" s="12"/>
      <c r="S63" s="10"/>
      <c r="T63" s="10"/>
    </row>
    <row r="64" customFormat="false" ht="25.5" hidden="false" customHeight="true" outlineLevel="0" collapsed="false">
      <c r="A64" s="7"/>
      <c r="B64" s="11" t="str">
        <f aca="false">IF(A64="","",IFERROR(INDEX('01_KI-Inventar'!$B$6:$B$65,MATCH(A64,'01_KI-Inventar'!$A$6:$A$65,0)),""))</f>
        <v/>
      </c>
      <c r="C64" s="7"/>
      <c r="D64" s="7"/>
      <c r="E64" s="7"/>
      <c r="F64" s="10"/>
      <c r="G64" s="7"/>
      <c r="H64" s="7"/>
      <c r="I64" s="7"/>
      <c r="J64" s="7"/>
      <c r="K64" s="11" t="str">
        <f aca="false">IF(A64="","",IF(OR(C64="",D64="",G64="",J64="",COUNTIF(C64:D64,"Prüfung offen")&gt;0,COUNTIF(H64:I64,"Prüfung offen")&gt;0,AND(D64="Ja",OR(E64="",E64="noch offen")),AND(G64&lt;&gt;"keiner",OR(H64="",AND(H64&lt;&gt;"Ja",I64="")))),"noch offen — Angaben unvollständig",IF(C64="Ja","VERBOTEN (Art. 5)",IF(AND(D64="Ja",E64="Abschnitt B",G64&lt;&gt;"keiner"),"Hochrisiko Anhang I Abschnitt B UND Anhang III — gesondert prüfen",IF(AND(D64="Ja",E64="Abschnitt B"),"Hochrisiko Anhang I Abschnitt B (Sektorrecht)",IF(AND(D64="Ja",G64&lt;&gt;"keiner"),"Hochrisiko Anhang I Abschnitt A und Anhang III",IF(D64="Ja","Hochrisiko Anhang I Abschnitt A",IF(G64&lt;&gt;"keiner",IF(H64="Ja","Hochrisiko Anhang III",IF(I64="Ja","Kein Hochrisiko (Art. 6 Abs. 3)","Hochrisiko Anhang III")),IF(J64&lt;&gt;"keiner","Transparenzpflicht (Art. 50)","Geringes Risiko")))))))))</f>
        <v/>
      </c>
      <c r="L64" s="11" t="str">
        <f aca="false">IF(K64="","",IF(K64="VERBOTEN (Art. 5)","02.02.2025 (NCII/CSAM: 02.12.2026)",IF(LEFT(K64,10)="noch offen","keine Frist — Einstufung zuerst abschließen",IF(K64="Hochrisiko Anhang I Abschnitt B (Sektorrecht)","Kapitel III gilt nicht. Es gelten nur Art. 6 Abs. 1, Art. 60a und Art. 102–112 (Art. 2 Abs. 2 n. F.). Frist und Pflichten folgen aus dem Sektorrecht — bei Maschinen: Anhang III VO (EU) 2023/1230, delegierter Rechtsakt ab 02.08.2028.",IF(K64="Hochrisiko Anhang I Abschnitt B UND Anhang III — gesondert prüfen","Uneinheitlich: Für den Anhang-I-Teil gilt Art. 2 Abs. 2 n. F. (nur Art. 6 Abs. 1, 60a, 102–112), für den Anhang-III-Teil der 02.12.2027. Juristisch klären.",IF(K64="Hochrisiko Anhang I Abschnitt A und Anhang III","02.12.2027 (Anhang III) / 02.08.2028 (Anhang I Abschnitt A) — Planungsannahme",IF(K64="Hochrisiko Anhang I Abschnitt A","02.08.2028 — Planungsannahme; Vorbehalt delegierter Rechtsakte nach Art. 2 Abs. 13 n. F. (bis 02.08.2027)",IF(K64="Hochrisiko Anhang III","02.12.2027 — Planungsannahme",IF(K64="Transparenzpflicht (Art. 50)","02.08.2026",IF(K64="Kein Hochrisiko (Art. 6 Abs. 3)","Registrierung nach Art. 49 Abs. 2; Bewertung VOR Inverkehrbringen dokumentieren","keine besonderen Pflichten aus den hier geprüften Kategorien — Art. 4 und übriges Recht (DSGVO, Arbeitsrecht, Urheberrecht) weiter prüfen"))))))))))</f>
        <v/>
      </c>
      <c r="M64" s="11" t="str">
        <f aca="false">IF(K64="","",IF(LEFT(K64,10)="noch offen","noch offen",IF(K64="Kein Hochrisiko (Art. 6 Abs. 3)","Ja — Art. 49 Abs. 2 (Anbieter); Bewertung VOR Inverkehrbringen dokumentieren (Art. 6 Abs. 4)",IF(K64="Hochrisiko Anhang I Abschnitt B (Sektorrecht)","Nein — Art. 49 ist nach Art. 2 Abs. 2 n. F. nicht anwendbar",IF(K64="Hochrisiko Anhang I Abschnitt A","Nein — Art. 49 Abs. 1 gilt nur für Anhang III",IF(AND(LEFT(G64,1)="2",ISNUMBER(SEARCH("Anhang III",K64))),"Nein — Registrierung auf nationaler Ebene (Art. 49 Abs. 5)",IF(ISNUMBER(SEARCH("Anhang III",K64)),"Ja — Art. 49 Abs. 1 (Anbieter); Behörden als Betreiber: Art. 49 Abs. 3","Nein")))))))</f>
        <v/>
      </c>
      <c r="N64" s="11" t="str">
        <f aca="false">IF(A64="","",IF(K64="VERBOTEN (Art. 5)","entfällt — Einsatz unzulässig",IF(K64="Hochrisiko Anhang I Abschnitt B (Sektorrecht)","Nein — Art. 50 ist nach Art. 2 Abs. 2 n. F. nicht anwendbar",IF(AND(J64&lt;&gt;"",J64&lt;&gt;"keiner"),"Ja — Art. 50 gilt zusätzlich ab 02.08.2026","Nein"))))</f>
        <v/>
      </c>
      <c r="O64" s="7"/>
      <c r="P64" s="11" t="str">
        <f aca="false">IF(K64="","",IF(LEFT(K64,10)="noch offen","Prüfung unvollständig",IF(O64="Ja","Einstufung bestätigt",IF(O64="Nein","Juristische Prüfung erforderlich","Arbeitsannahme — nicht bestätigt"))))</f>
        <v/>
      </c>
      <c r="Q64" s="10"/>
      <c r="R64" s="12"/>
      <c r="S64" s="10"/>
      <c r="T64" s="10"/>
    </row>
    <row r="65" customFormat="false" ht="25.5" hidden="false" customHeight="true" outlineLevel="0" collapsed="false">
      <c r="A65" s="7"/>
      <c r="B65" s="11" t="str">
        <f aca="false">IF(A65="","",IFERROR(INDEX('01_KI-Inventar'!$B$6:$B$65,MATCH(A65,'01_KI-Inventar'!$A$6:$A$65,0)),""))</f>
        <v/>
      </c>
      <c r="C65" s="7"/>
      <c r="D65" s="7"/>
      <c r="E65" s="7"/>
      <c r="F65" s="10"/>
      <c r="G65" s="7"/>
      <c r="H65" s="7"/>
      <c r="I65" s="7"/>
      <c r="J65" s="7"/>
      <c r="K65" s="11" t="str">
        <f aca="false">IF(A65="","",IF(OR(C65="",D65="",G65="",J65="",COUNTIF(C65:D65,"Prüfung offen")&gt;0,COUNTIF(H65:I65,"Prüfung offen")&gt;0,AND(D65="Ja",OR(E65="",E65="noch offen")),AND(G65&lt;&gt;"keiner",OR(H65="",AND(H65&lt;&gt;"Ja",I65="")))),"noch offen — Angaben unvollständig",IF(C65="Ja","VERBOTEN (Art. 5)",IF(AND(D65="Ja",E65="Abschnitt B",G65&lt;&gt;"keiner"),"Hochrisiko Anhang I Abschnitt B UND Anhang III — gesondert prüfen",IF(AND(D65="Ja",E65="Abschnitt B"),"Hochrisiko Anhang I Abschnitt B (Sektorrecht)",IF(AND(D65="Ja",G65&lt;&gt;"keiner"),"Hochrisiko Anhang I Abschnitt A und Anhang III",IF(D65="Ja","Hochrisiko Anhang I Abschnitt A",IF(G65&lt;&gt;"keiner",IF(H65="Ja","Hochrisiko Anhang III",IF(I65="Ja","Kein Hochrisiko (Art. 6 Abs. 3)","Hochrisiko Anhang III")),IF(J65&lt;&gt;"keiner","Transparenzpflicht (Art. 50)","Geringes Risiko")))))))))</f>
        <v/>
      </c>
      <c r="L65" s="11" t="str">
        <f aca="false">IF(K65="","",IF(K65="VERBOTEN (Art. 5)","02.02.2025 (NCII/CSAM: 02.12.2026)",IF(LEFT(K65,10)="noch offen","keine Frist — Einstufung zuerst abschließen",IF(K65="Hochrisiko Anhang I Abschnitt B (Sektorrecht)","Kapitel III gilt nicht. Es gelten nur Art. 6 Abs. 1, Art. 60a und Art. 102–112 (Art. 2 Abs. 2 n. F.). Frist und Pflichten folgen aus dem Sektorrecht — bei Maschinen: Anhang III VO (EU) 2023/1230, delegierter Rechtsakt ab 02.08.2028.",IF(K65="Hochrisiko Anhang I Abschnitt B UND Anhang III — gesondert prüfen","Uneinheitlich: Für den Anhang-I-Teil gilt Art. 2 Abs. 2 n. F. (nur Art. 6 Abs. 1, 60a, 102–112), für den Anhang-III-Teil der 02.12.2027. Juristisch klären.",IF(K65="Hochrisiko Anhang I Abschnitt A und Anhang III","02.12.2027 (Anhang III) / 02.08.2028 (Anhang I Abschnitt A) — Planungsannahme",IF(K65="Hochrisiko Anhang I Abschnitt A","02.08.2028 — Planungsannahme; Vorbehalt delegierter Rechtsakte nach Art. 2 Abs. 13 n. F. (bis 02.08.2027)",IF(K65="Hochrisiko Anhang III","02.12.2027 — Planungsannahme",IF(K65="Transparenzpflicht (Art. 50)","02.08.2026",IF(K65="Kein Hochrisiko (Art. 6 Abs. 3)","Registrierung nach Art. 49 Abs. 2; Bewertung VOR Inverkehrbringen dokumentieren","keine besonderen Pflichten aus den hier geprüften Kategorien — Art. 4 und übriges Recht (DSGVO, Arbeitsrecht, Urheberrecht) weiter prüfen"))))))))))</f>
        <v/>
      </c>
      <c r="M65" s="11" t="str">
        <f aca="false">IF(K65="","",IF(LEFT(K65,10)="noch offen","noch offen",IF(K65="Kein Hochrisiko (Art. 6 Abs. 3)","Ja — Art. 49 Abs. 2 (Anbieter); Bewertung VOR Inverkehrbringen dokumentieren (Art. 6 Abs. 4)",IF(K65="Hochrisiko Anhang I Abschnitt B (Sektorrecht)","Nein — Art. 49 ist nach Art. 2 Abs. 2 n. F. nicht anwendbar",IF(K65="Hochrisiko Anhang I Abschnitt A","Nein — Art. 49 Abs. 1 gilt nur für Anhang III",IF(AND(LEFT(G65,1)="2",ISNUMBER(SEARCH("Anhang III",K65))),"Nein — Registrierung auf nationaler Ebene (Art. 49 Abs. 5)",IF(ISNUMBER(SEARCH("Anhang III",K65)),"Ja — Art. 49 Abs. 1 (Anbieter); Behörden als Betreiber: Art. 49 Abs. 3","Nein")))))))</f>
        <v/>
      </c>
      <c r="N65" s="11" t="str">
        <f aca="false">IF(A65="","",IF(K65="VERBOTEN (Art. 5)","entfällt — Einsatz unzulässig",IF(K65="Hochrisiko Anhang I Abschnitt B (Sektorrecht)","Nein — Art. 50 ist nach Art. 2 Abs. 2 n. F. nicht anwendbar",IF(AND(J65&lt;&gt;"",J65&lt;&gt;"keiner"),"Ja — Art. 50 gilt zusätzlich ab 02.08.2026","Nein"))))</f>
        <v/>
      </c>
      <c r="O65" s="7"/>
      <c r="P65" s="11" t="str">
        <f aca="false">IF(K65="","",IF(LEFT(K65,10)="noch offen","Prüfung unvollständig",IF(O65="Ja","Einstufung bestätigt",IF(O65="Nein","Juristische Prüfung erforderlich","Arbeitsannahme — nicht bestätigt"))))</f>
        <v/>
      </c>
      <c r="Q65" s="10"/>
      <c r="R65" s="12"/>
      <c r="S65" s="10"/>
      <c r="T65" s="10"/>
    </row>
  </sheetData>
  <mergeCells count="2">
    <mergeCell ref="A1:T1"/>
    <mergeCell ref="A2:T2"/>
  </mergeCells>
  <conditionalFormatting sqref="K6:K65">
    <cfRule type="cellIs" priority="2" operator="equal" aboveAverage="0" equalAverage="0" bottom="0" percent="0" rank="0" text="" dxfId="1">
      <formula>"VERBOTEN (Art. 5)"</formula>
    </cfRule>
    <cfRule type="cellIs" priority="3" operator="equal" aboveAverage="0" equalAverage="0" bottom="0" percent="0" rank="0" text="" dxfId="2">
      <formula>"Kein Hochrisiko (Art. 6 Abs. 3)"</formula>
    </cfRule>
    <cfRule type="expression" priority="4" aboveAverage="0" equalAverage="0" bottom="0" percent="0" rank="0" text="" dxfId="3">
      <formula>ISNUMBER(SEARCH("Hochrisiko",$K6))</formula>
    </cfRule>
    <cfRule type="expression" priority="5" aboveAverage="0" equalAverage="0" bottom="0" percent="0" rank="0" text="" dxfId="4">
      <formula>LEFT($K6,10)="noch offen"</formula>
    </cfRule>
    <cfRule type="cellIs" priority="6" operator="equal" aboveAverage="0" equalAverage="0" bottom="0" percent="0" rank="0" text="" dxfId="5">
      <formula>"Geringes Risiko"</formula>
    </cfRule>
  </conditionalFormatting>
  <conditionalFormatting sqref="P6:P65">
    <cfRule type="cellIs" priority="7" operator="equal" aboveAverage="0" equalAverage="0" bottom="0" percent="0" rank="0" text="" dxfId="5">
      <formula>"Einstufung bestätigt"</formula>
    </cfRule>
    <cfRule type="cellIs" priority="8" operator="equal" aboveAverage="0" equalAverage="0" bottom="0" percent="0" rank="0" text="" dxfId="3">
      <formula>"Arbeitsannahme — nicht bestätigt"</formula>
    </cfRule>
    <cfRule type="cellIs" priority="9" operator="equal" aboveAverage="0" equalAverage="0" bottom="0" percent="0" rank="0" text="" dxfId="1">
      <formula>"Juristische Prüfung erforderlich"</formula>
    </cfRule>
    <cfRule type="cellIs" priority="10" operator="equal" aboveAverage="0" equalAverage="0" bottom="0" percent="0" rank="0" text="" dxfId="1">
      <formula>"Prüfung unvollständig"</formula>
    </cfRule>
  </conditionalFormatting>
  <dataValidations count="9">
    <dataValidation allowBlank="true" error="Bitte einen Wert aus der Liste wählen. Freitext führt zu falschen Einstufungen." errorStyle="stop" errorTitle="Ungültige Eingabe" operator="between" showDropDown="false" showErrorMessage="true" showInputMessage="false" sqref="A6:A65" type="list">
      <formula1>'01_KI-Inventar'!$A$6:$A$65</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C6:C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D6:D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H6:H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I6:I65" type="list">
      <formula1>'08_Register'!$A$5:$A$7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E6:E65" type="list">
      <formula1>'08_Register'!$K$5:$K$8</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G6:G65" type="list">
      <formula1>'08_Register'!$E$5:$E$13</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J6:J65" type="list">
      <formula1>'08_Register'!$F$5:$F$10</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O6:O65" type="list">
      <formula1>'08_Register'!$L$5:$L$7</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58"/>
    <col collapsed="false" customWidth="true" hidden="false" outlineLevel="0" max="4" min="4" style="0" width="26"/>
    <col collapsed="false" customWidth="true" hidden="false" outlineLevel="0" max="5" min="5" style="0" width="20"/>
    <col collapsed="false" customWidth="true" hidden="false" outlineLevel="0" max="6" min="6" style="0" width="26"/>
    <col collapsed="false" customWidth="true" hidden="false" outlineLevel="0" max="7" min="7" style="0" width="18"/>
    <col collapsed="false" customWidth="true" hidden="false" outlineLevel="0" max="8" min="8" style="0" width="15"/>
    <col collapsed="false" customWidth="true" hidden="false" outlineLevel="0" max="9" min="9" style="0" width="14"/>
    <col collapsed="false" customWidth="true" hidden="false" outlineLevel="0" max="10" min="10" style="0" width="20"/>
    <col collapsed="false" customWidth="true" hidden="false" outlineLevel="0" max="11" min="11" style="0" width="13"/>
    <col collapsed="false" customWidth="true" hidden="false" outlineLevel="0" max="12" min="12" style="0" width="28"/>
    <col collapsed="false" customWidth="true" hidden="false" outlineLevel="0" max="13" min="13" style="0" width="30"/>
    <col collapsed="false" customWidth="true" hidden="false" outlineLevel="0" max="14" min="14" style="0" width="13"/>
  </cols>
  <sheetData>
    <row r="1" customFormat="false" ht="24" hidden="false" customHeight="true" outlineLevel="0" collapsed="false">
      <c r="A1" s="1" t="s">
        <v>117</v>
      </c>
      <c r="B1" s="1"/>
      <c r="C1" s="1"/>
      <c r="D1" s="1"/>
      <c r="E1" s="1"/>
      <c r="F1" s="1"/>
      <c r="G1" s="1"/>
      <c r="H1" s="1"/>
      <c r="I1" s="1"/>
      <c r="J1" s="1"/>
      <c r="K1" s="1"/>
      <c r="L1" s="1"/>
      <c r="M1" s="1"/>
      <c r="N1" s="1"/>
    </row>
    <row r="2" customFormat="false" ht="15" hidden="false" customHeight="false" outlineLevel="0" collapsed="false">
      <c r="A2" s="2" t="s">
        <v>118</v>
      </c>
      <c r="B2" s="2"/>
      <c r="C2" s="2"/>
      <c r="D2" s="2"/>
      <c r="E2" s="2"/>
      <c r="F2" s="2"/>
      <c r="G2" s="2"/>
      <c r="H2" s="2"/>
      <c r="I2" s="2"/>
      <c r="J2" s="2"/>
      <c r="K2" s="2"/>
      <c r="L2" s="2"/>
      <c r="M2" s="2"/>
      <c r="N2" s="2"/>
    </row>
    <row r="5" customFormat="false" ht="43.5" hidden="false" customHeight="true" outlineLevel="0" collapsed="false">
      <c r="A5" s="9" t="s">
        <v>119</v>
      </c>
      <c r="B5" s="9" t="s">
        <v>120</v>
      </c>
      <c r="C5" s="9" t="s">
        <v>121</v>
      </c>
      <c r="D5" s="9" t="s">
        <v>122</v>
      </c>
      <c r="E5" s="9" t="s">
        <v>123</v>
      </c>
      <c r="F5" s="9" t="s">
        <v>124</v>
      </c>
      <c r="G5" s="9" t="s">
        <v>125</v>
      </c>
      <c r="H5" s="9" t="s">
        <v>126</v>
      </c>
      <c r="I5" s="9" t="s">
        <v>127</v>
      </c>
      <c r="J5" s="9" t="s">
        <v>128</v>
      </c>
      <c r="K5" s="9" t="s">
        <v>129</v>
      </c>
      <c r="L5" s="9" t="s">
        <v>130</v>
      </c>
      <c r="M5" s="9" t="s">
        <v>84</v>
      </c>
      <c r="N5" s="9" t="s">
        <v>131</v>
      </c>
    </row>
    <row r="6" customFormat="false" ht="30" hidden="false" customHeight="true" outlineLevel="0" collapsed="false">
      <c r="A6" s="13" t="s">
        <v>132</v>
      </c>
      <c r="B6" s="13" t="s">
        <v>133</v>
      </c>
      <c r="C6" s="13" t="s">
        <v>134</v>
      </c>
      <c r="D6" s="13" t="s">
        <v>135</v>
      </c>
      <c r="E6" s="13" t="s">
        <v>136</v>
      </c>
      <c r="F6" s="13" t="s">
        <v>137</v>
      </c>
      <c r="G6" s="13" t="s">
        <v>138</v>
      </c>
      <c r="H6" s="7"/>
      <c r="I6" s="7"/>
      <c r="J6" s="10"/>
      <c r="K6" s="12"/>
      <c r="L6" s="10"/>
      <c r="M6" s="10"/>
      <c r="N6" s="14" t="str">
        <f aca="false">IF(H6="Nein","n. a.",IF(I6="erfüllt","grün",IF(I6="nicht anwendbar","n. a.",IF(I6="in Arbeit","gelb","rot"))))</f>
        <v>rot</v>
      </c>
    </row>
    <row r="7" customFormat="false" ht="30" hidden="false" customHeight="true" outlineLevel="0" collapsed="false">
      <c r="A7" s="13" t="s">
        <v>139</v>
      </c>
      <c r="B7" s="13" t="s">
        <v>133</v>
      </c>
      <c r="C7" s="13" t="s">
        <v>140</v>
      </c>
      <c r="D7" s="13" t="s">
        <v>135</v>
      </c>
      <c r="E7" s="13" t="s">
        <v>136</v>
      </c>
      <c r="F7" s="13" t="s">
        <v>137</v>
      </c>
      <c r="G7" s="13" t="s">
        <v>138</v>
      </c>
      <c r="H7" s="7"/>
      <c r="I7" s="7"/>
      <c r="J7" s="10"/>
      <c r="K7" s="12"/>
      <c r="L7" s="10"/>
      <c r="M7" s="10"/>
      <c r="N7" s="14" t="str">
        <f aca="false">IF(H7="Nein","n. a.",IF(I7="erfüllt","grün",IF(I7="nicht anwendbar","n. a.",IF(I7="in Arbeit","gelb","rot"))))</f>
        <v>rot</v>
      </c>
    </row>
    <row r="8" customFormat="false" ht="30" hidden="false" customHeight="true" outlineLevel="0" collapsed="false">
      <c r="A8" s="13" t="s">
        <v>141</v>
      </c>
      <c r="B8" s="13" t="s">
        <v>133</v>
      </c>
      <c r="C8" s="13" t="s">
        <v>142</v>
      </c>
      <c r="D8" s="13" t="s">
        <v>135</v>
      </c>
      <c r="E8" s="13" t="s">
        <v>136</v>
      </c>
      <c r="F8" s="13" t="s">
        <v>137</v>
      </c>
      <c r="G8" s="13" t="s">
        <v>143</v>
      </c>
      <c r="H8" s="7"/>
      <c r="I8" s="7"/>
      <c r="J8" s="10"/>
      <c r="K8" s="12"/>
      <c r="L8" s="10"/>
      <c r="M8" s="10"/>
      <c r="N8" s="14" t="str">
        <f aca="false">IF(H8="Nein","n. a.",IF(I8="erfüllt","grün",IF(I8="nicht anwendbar","n. a.",IF(I8="in Arbeit","gelb","rot"))))</f>
        <v>rot</v>
      </c>
    </row>
    <row r="9" customFormat="false" ht="30" hidden="false" customHeight="true" outlineLevel="0" collapsed="false">
      <c r="A9" s="13" t="s">
        <v>144</v>
      </c>
      <c r="B9" s="13" t="s">
        <v>145</v>
      </c>
      <c r="C9" s="13" t="s">
        <v>146</v>
      </c>
      <c r="D9" s="13" t="s">
        <v>147</v>
      </c>
      <c r="E9" s="13" t="s">
        <v>137</v>
      </c>
      <c r="F9" s="13" t="s">
        <v>137</v>
      </c>
      <c r="G9" s="13" t="s">
        <v>138</v>
      </c>
      <c r="H9" s="7"/>
      <c r="I9" s="7"/>
      <c r="J9" s="10"/>
      <c r="K9" s="12"/>
      <c r="L9" s="10"/>
      <c r="M9" s="10"/>
      <c r="N9" s="14" t="str">
        <f aca="false">IF(H9="Nein","n. a.",IF(I9="erfüllt","grün",IF(I9="nicht anwendbar","n. a.",IF(I9="in Arbeit","gelb","rot"))))</f>
        <v>rot</v>
      </c>
    </row>
    <row r="10" customFormat="false" ht="30" hidden="false" customHeight="true" outlineLevel="0" collapsed="false">
      <c r="A10" s="13" t="s">
        <v>148</v>
      </c>
      <c r="B10" s="13" t="s">
        <v>145</v>
      </c>
      <c r="C10" s="13" t="s">
        <v>149</v>
      </c>
      <c r="D10" s="13" t="s">
        <v>150</v>
      </c>
      <c r="E10" s="13" t="s">
        <v>137</v>
      </c>
      <c r="F10" s="13" t="s">
        <v>137</v>
      </c>
      <c r="G10" s="13" t="s">
        <v>138</v>
      </c>
      <c r="H10" s="7"/>
      <c r="I10" s="7"/>
      <c r="J10" s="10"/>
      <c r="K10" s="12"/>
      <c r="L10" s="10"/>
      <c r="M10" s="10"/>
      <c r="N10" s="14" t="str">
        <f aca="false">IF(H10="Nein","n. a.",IF(I10="erfüllt","grün",IF(I10="nicht anwendbar","n. a.",IF(I10="in Arbeit","gelb","rot"))))</f>
        <v>rot</v>
      </c>
    </row>
    <row r="11" customFormat="false" ht="30" hidden="false" customHeight="true" outlineLevel="0" collapsed="false">
      <c r="A11" s="13" t="s">
        <v>151</v>
      </c>
      <c r="B11" s="13" t="s">
        <v>145</v>
      </c>
      <c r="C11" s="13" t="s">
        <v>152</v>
      </c>
      <c r="D11" s="13" t="s">
        <v>153</v>
      </c>
      <c r="E11" s="13" t="s">
        <v>137</v>
      </c>
      <c r="F11" s="13" t="s">
        <v>137</v>
      </c>
      <c r="G11" s="13" t="s">
        <v>138</v>
      </c>
      <c r="H11" s="7"/>
      <c r="I11" s="7"/>
      <c r="J11" s="10"/>
      <c r="K11" s="12"/>
      <c r="L11" s="10"/>
      <c r="M11" s="10"/>
      <c r="N11" s="14" t="str">
        <f aca="false">IF(H11="Nein","n. a.",IF(I11="erfüllt","grün",IF(I11="nicht anwendbar","n. a.",IF(I11="in Arbeit","gelb","rot"))))</f>
        <v>rot</v>
      </c>
    </row>
    <row r="12" customFormat="false" ht="30" hidden="false" customHeight="true" outlineLevel="0" collapsed="false">
      <c r="A12" s="13" t="s">
        <v>154</v>
      </c>
      <c r="B12" s="13" t="s">
        <v>145</v>
      </c>
      <c r="C12" s="13" t="s">
        <v>155</v>
      </c>
      <c r="D12" s="13" t="s">
        <v>156</v>
      </c>
      <c r="E12" s="13" t="s">
        <v>137</v>
      </c>
      <c r="F12" s="13" t="s">
        <v>137</v>
      </c>
      <c r="G12" s="13" t="s">
        <v>138</v>
      </c>
      <c r="H12" s="7"/>
      <c r="I12" s="7"/>
      <c r="J12" s="10"/>
      <c r="K12" s="12"/>
      <c r="L12" s="10"/>
      <c r="M12" s="10"/>
      <c r="N12" s="14" t="str">
        <f aca="false">IF(H12="Nein","n. a.",IF(I12="erfüllt","grün",IF(I12="nicht anwendbar","n. a.",IF(I12="in Arbeit","gelb","rot"))))</f>
        <v>rot</v>
      </c>
    </row>
    <row r="13" customFormat="false" ht="30" hidden="false" customHeight="true" outlineLevel="0" collapsed="false">
      <c r="A13" s="13" t="s">
        <v>157</v>
      </c>
      <c r="B13" s="13" t="s">
        <v>145</v>
      </c>
      <c r="C13" s="13" t="s">
        <v>158</v>
      </c>
      <c r="D13" s="13" t="s">
        <v>159</v>
      </c>
      <c r="E13" s="13" t="s">
        <v>137</v>
      </c>
      <c r="F13" s="13" t="s">
        <v>137</v>
      </c>
      <c r="G13" s="13" t="s">
        <v>138</v>
      </c>
      <c r="H13" s="7"/>
      <c r="I13" s="7"/>
      <c r="J13" s="10"/>
      <c r="K13" s="12"/>
      <c r="L13" s="10"/>
      <c r="M13" s="10"/>
      <c r="N13" s="14" t="str">
        <f aca="false">IF(H13="Nein","n. a.",IF(I13="erfüllt","grün",IF(I13="nicht anwendbar","n. a.",IF(I13="in Arbeit","gelb","rot"))))</f>
        <v>rot</v>
      </c>
    </row>
    <row r="14" customFormat="false" ht="30" hidden="false" customHeight="true" outlineLevel="0" collapsed="false">
      <c r="A14" s="13" t="s">
        <v>160</v>
      </c>
      <c r="B14" s="13" t="s">
        <v>145</v>
      </c>
      <c r="C14" s="13" t="s">
        <v>161</v>
      </c>
      <c r="D14" s="13" t="s">
        <v>162</v>
      </c>
      <c r="E14" s="13" t="s">
        <v>137</v>
      </c>
      <c r="F14" s="13" t="s">
        <v>137</v>
      </c>
      <c r="G14" s="13" t="s">
        <v>138</v>
      </c>
      <c r="H14" s="7"/>
      <c r="I14" s="7"/>
      <c r="J14" s="10"/>
      <c r="K14" s="12"/>
      <c r="L14" s="10"/>
      <c r="M14" s="10"/>
      <c r="N14" s="14" t="str">
        <f aca="false">IF(H14="Nein","n. a.",IF(I14="erfüllt","grün",IF(I14="nicht anwendbar","n. a.",IF(I14="in Arbeit","gelb","rot"))))</f>
        <v>rot</v>
      </c>
    </row>
    <row r="15" customFormat="false" ht="30" hidden="false" customHeight="true" outlineLevel="0" collapsed="false">
      <c r="A15" s="13" t="s">
        <v>163</v>
      </c>
      <c r="B15" s="13" t="s">
        <v>145</v>
      </c>
      <c r="C15" s="13" t="s">
        <v>164</v>
      </c>
      <c r="D15" s="13" t="s">
        <v>165</v>
      </c>
      <c r="E15" s="13" t="s">
        <v>137</v>
      </c>
      <c r="F15" s="13" t="s">
        <v>137</v>
      </c>
      <c r="G15" s="13" t="s">
        <v>138</v>
      </c>
      <c r="H15" s="7"/>
      <c r="I15" s="7"/>
      <c r="J15" s="10"/>
      <c r="K15" s="12"/>
      <c r="L15" s="10"/>
      <c r="M15" s="10"/>
      <c r="N15" s="14" t="str">
        <f aca="false">IF(H15="Nein","n. a.",IF(I15="erfüllt","grün",IF(I15="nicht anwendbar","n. a.",IF(I15="in Arbeit","gelb","rot"))))</f>
        <v>rot</v>
      </c>
    </row>
    <row r="16" customFormat="false" ht="30" hidden="false" customHeight="true" outlineLevel="0" collapsed="false">
      <c r="A16" s="13" t="s">
        <v>166</v>
      </c>
      <c r="B16" s="13" t="s">
        <v>145</v>
      </c>
      <c r="C16" s="13" t="s">
        <v>167</v>
      </c>
      <c r="D16" s="13" t="s">
        <v>168</v>
      </c>
      <c r="E16" s="13" t="s">
        <v>137</v>
      </c>
      <c r="F16" s="13" t="s">
        <v>137</v>
      </c>
      <c r="G16" s="13" t="s">
        <v>138</v>
      </c>
      <c r="H16" s="7"/>
      <c r="I16" s="7"/>
      <c r="J16" s="10"/>
      <c r="K16" s="12"/>
      <c r="L16" s="10"/>
      <c r="M16" s="10"/>
      <c r="N16" s="14" t="str">
        <f aca="false">IF(H16="Nein","n. a.",IF(I16="erfüllt","grün",IF(I16="nicht anwendbar","n. a.",IF(I16="in Arbeit","gelb","rot"))))</f>
        <v>rot</v>
      </c>
    </row>
    <row r="17" customFormat="false" ht="30" hidden="false" customHeight="true" outlineLevel="0" collapsed="false">
      <c r="A17" s="13" t="s">
        <v>169</v>
      </c>
      <c r="B17" s="13" t="s">
        <v>145</v>
      </c>
      <c r="C17" s="13" t="s">
        <v>170</v>
      </c>
      <c r="D17" s="13" t="s">
        <v>171</v>
      </c>
      <c r="E17" s="13" t="s">
        <v>137</v>
      </c>
      <c r="F17" s="13" t="s">
        <v>137</v>
      </c>
      <c r="G17" s="13" t="s">
        <v>53</v>
      </c>
      <c r="H17" s="7"/>
      <c r="I17" s="7"/>
      <c r="J17" s="10"/>
      <c r="K17" s="12"/>
      <c r="L17" s="10"/>
      <c r="M17" s="10"/>
      <c r="N17" s="14" t="str">
        <f aca="false">IF(H17="Nein","n. a.",IF(I17="erfüllt","grün",IF(I17="nicht anwendbar","n. a.",IF(I17="in Arbeit","gelb","rot"))))</f>
        <v>rot</v>
      </c>
    </row>
    <row r="18" customFormat="false" ht="30" hidden="false" customHeight="true" outlineLevel="0" collapsed="false">
      <c r="A18" s="13" t="s">
        <v>172</v>
      </c>
      <c r="B18" s="13" t="s">
        <v>145</v>
      </c>
      <c r="C18" s="13" t="s">
        <v>173</v>
      </c>
      <c r="D18" s="13" t="s">
        <v>174</v>
      </c>
      <c r="E18" s="13" t="s">
        <v>137</v>
      </c>
      <c r="F18" s="13" t="s">
        <v>137</v>
      </c>
      <c r="G18" s="13" t="s">
        <v>53</v>
      </c>
      <c r="H18" s="7"/>
      <c r="I18" s="7"/>
      <c r="J18" s="10"/>
      <c r="K18" s="12"/>
      <c r="L18" s="10"/>
      <c r="M18" s="10"/>
      <c r="N18" s="14" t="str">
        <f aca="false">IF(H18="Nein","n. a.",IF(I18="erfüllt","grün",IF(I18="nicht anwendbar","n. a.",IF(I18="in Arbeit","gelb","rot"))))</f>
        <v>rot</v>
      </c>
    </row>
    <row r="19" customFormat="false" ht="30" hidden="false" customHeight="true" outlineLevel="0" collapsed="false">
      <c r="A19" s="13" t="s">
        <v>175</v>
      </c>
      <c r="B19" s="13" t="s">
        <v>145</v>
      </c>
      <c r="C19" s="13" t="s">
        <v>176</v>
      </c>
      <c r="D19" s="13" t="s">
        <v>177</v>
      </c>
      <c r="E19" s="13" t="s">
        <v>178</v>
      </c>
      <c r="F19" s="13" t="s">
        <v>137</v>
      </c>
      <c r="G19" s="13" t="s">
        <v>53</v>
      </c>
      <c r="H19" s="7"/>
      <c r="I19" s="7"/>
      <c r="J19" s="10"/>
      <c r="K19" s="12"/>
      <c r="L19" s="10"/>
      <c r="M19" s="10"/>
      <c r="N19" s="14" t="str">
        <f aca="false">IF(H19="Nein","n. a.",IF(I19="erfüllt","grün",IF(I19="nicht anwendbar","n. a.",IF(I19="in Arbeit","gelb","rot"))))</f>
        <v>rot</v>
      </c>
    </row>
    <row r="20" customFormat="false" ht="30" hidden="false" customHeight="true" outlineLevel="0" collapsed="false">
      <c r="A20" s="13" t="s">
        <v>179</v>
      </c>
      <c r="B20" s="13" t="s">
        <v>180</v>
      </c>
      <c r="C20" s="13" t="s">
        <v>181</v>
      </c>
      <c r="D20" s="13" t="s">
        <v>182</v>
      </c>
      <c r="E20" s="13" t="s">
        <v>178</v>
      </c>
      <c r="F20" s="13" t="s">
        <v>137</v>
      </c>
      <c r="G20" s="13" t="s">
        <v>51</v>
      </c>
      <c r="H20" s="7"/>
      <c r="I20" s="7"/>
      <c r="J20" s="10"/>
      <c r="K20" s="12"/>
      <c r="L20" s="10"/>
      <c r="M20" s="10"/>
      <c r="N20" s="14" t="str">
        <f aca="false">IF(H20="Nein","n. a.",IF(I20="erfüllt","grün",IF(I20="nicht anwendbar","n. a.",IF(I20="in Arbeit","gelb","rot"))))</f>
        <v>rot</v>
      </c>
    </row>
    <row r="21" customFormat="false" ht="30" hidden="false" customHeight="true" outlineLevel="0" collapsed="false">
      <c r="A21" s="13" t="s">
        <v>183</v>
      </c>
      <c r="B21" s="13" t="s">
        <v>180</v>
      </c>
      <c r="C21" s="13" t="s">
        <v>184</v>
      </c>
      <c r="D21" s="13" t="s">
        <v>185</v>
      </c>
      <c r="E21" s="13" t="s">
        <v>178</v>
      </c>
      <c r="F21" s="13" t="s">
        <v>137</v>
      </c>
      <c r="G21" s="13" t="s">
        <v>51</v>
      </c>
      <c r="H21" s="7"/>
      <c r="I21" s="7"/>
      <c r="J21" s="10"/>
      <c r="K21" s="12"/>
      <c r="L21" s="10"/>
      <c r="M21" s="10"/>
      <c r="N21" s="14" t="str">
        <f aca="false">IF(H21="Nein","n. a.",IF(I21="erfüllt","grün",IF(I21="nicht anwendbar","n. a.",IF(I21="in Arbeit","gelb","rot"))))</f>
        <v>rot</v>
      </c>
    </row>
    <row r="22" customFormat="false" ht="30" hidden="false" customHeight="true" outlineLevel="0" collapsed="false">
      <c r="A22" s="13" t="s">
        <v>186</v>
      </c>
      <c r="B22" s="13" t="s">
        <v>180</v>
      </c>
      <c r="C22" s="13" t="s">
        <v>187</v>
      </c>
      <c r="D22" s="13" t="s">
        <v>188</v>
      </c>
      <c r="E22" s="13" t="s">
        <v>178</v>
      </c>
      <c r="F22" s="13" t="s">
        <v>137</v>
      </c>
      <c r="G22" s="13" t="s">
        <v>53</v>
      </c>
      <c r="H22" s="7"/>
      <c r="I22" s="7"/>
      <c r="J22" s="10"/>
      <c r="K22" s="12"/>
      <c r="L22" s="10"/>
      <c r="M22" s="10"/>
      <c r="N22" s="14" t="str">
        <f aca="false">IF(H22="Nein","n. a.",IF(I22="erfüllt","grün",IF(I22="nicht anwendbar","n. a.",IF(I22="in Arbeit","gelb","rot"))))</f>
        <v>rot</v>
      </c>
    </row>
    <row r="23" customFormat="false" ht="30" hidden="false" customHeight="true" outlineLevel="0" collapsed="false">
      <c r="A23" s="13" t="s">
        <v>189</v>
      </c>
      <c r="B23" s="13" t="s">
        <v>180</v>
      </c>
      <c r="C23" s="13" t="s">
        <v>190</v>
      </c>
      <c r="D23" s="13" t="s">
        <v>191</v>
      </c>
      <c r="E23" s="13" t="s">
        <v>192</v>
      </c>
      <c r="F23" s="13" t="s">
        <v>137</v>
      </c>
      <c r="G23" s="13" t="s">
        <v>51</v>
      </c>
      <c r="H23" s="7"/>
      <c r="I23" s="7"/>
      <c r="J23" s="10"/>
      <c r="K23" s="12"/>
      <c r="L23" s="10"/>
      <c r="M23" s="10"/>
      <c r="N23" s="14" t="str">
        <f aca="false">IF(H23="Nein","n. a.",IF(I23="erfüllt","grün",IF(I23="nicht anwendbar","n. a.",IF(I23="in Arbeit","gelb","rot"))))</f>
        <v>rot</v>
      </c>
    </row>
    <row r="24" customFormat="false" ht="30" hidden="false" customHeight="true" outlineLevel="0" collapsed="false">
      <c r="A24" s="13" t="s">
        <v>193</v>
      </c>
      <c r="B24" s="13" t="s">
        <v>180</v>
      </c>
      <c r="C24" s="13" t="s">
        <v>194</v>
      </c>
      <c r="D24" s="13" t="s">
        <v>195</v>
      </c>
      <c r="E24" s="13" t="s">
        <v>192</v>
      </c>
      <c r="F24" s="13" t="s">
        <v>137</v>
      </c>
      <c r="G24" s="13" t="s">
        <v>51</v>
      </c>
      <c r="H24" s="7"/>
      <c r="I24" s="7"/>
      <c r="J24" s="10"/>
      <c r="K24" s="12"/>
      <c r="L24" s="10"/>
      <c r="M24" s="10"/>
      <c r="N24" s="14" t="str">
        <f aca="false">IF(H24="Nein","n. a.",IF(I24="erfüllt","grün",IF(I24="nicht anwendbar","n. a.",IF(I24="in Arbeit","gelb","rot"))))</f>
        <v>rot</v>
      </c>
    </row>
    <row r="25" customFormat="false" ht="30" hidden="false" customHeight="true" outlineLevel="0" collapsed="false">
      <c r="A25" s="13" t="s">
        <v>196</v>
      </c>
      <c r="B25" s="13" t="s">
        <v>180</v>
      </c>
      <c r="C25" s="13" t="s">
        <v>197</v>
      </c>
      <c r="D25" s="13" t="s">
        <v>198</v>
      </c>
      <c r="E25" s="13" t="s">
        <v>192</v>
      </c>
      <c r="F25" s="13" t="s">
        <v>137</v>
      </c>
      <c r="G25" s="13" t="s">
        <v>51</v>
      </c>
      <c r="H25" s="7"/>
      <c r="I25" s="7"/>
      <c r="J25" s="10"/>
      <c r="K25" s="12"/>
      <c r="L25" s="10"/>
      <c r="M25" s="10"/>
      <c r="N25" s="14" t="str">
        <f aca="false">IF(H25="Nein","n. a.",IF(I25="erfüllt","grün",IF(I25="nicht anwendbar","n. a.",IF(I25="in Arbeit","gelb","rot"))))</f>
        <v>rot</v>
      </c>
    </row>
    <row r="26" customFormat="false" ht="30" hidden="false" customHeight="true" outlineLevel="0" collapsed="false">
      <c r="A26" s="13" t="s">
        <v>199</v>
      </c>
      <c r="B26" s="13" t="s">
        <v>180</v>
      </c>
      <c r="C26" s="13" t="s">
        <v>200</v>
      </c>
      <c r="D26" s="13" t="s">
        <v>201</v>
      </c>
      <c r="E26" s="13" t="s">
        <v>136</v>
      </c>
      <c r="F26" s="13" t="s">
        <v>137</v>
      </c>
      <c r="G26" s="13" t="s">
        <v>51</v>
      </c>
      <c r="H26" s="7"/>
      <c r="I26" s="7"/>
      <c r="J26" s="10"/>
      <c r="K26" s="12"/>
      <c r="L26" s="10"/>
      <c r="M26" s="10"/>
      <c r="N26" s="14" t="str">
        <f aca="false">IF(H26="Nein","n. a.",IF(I26="erfüllt","grün",IF(I26="nicht anwendbar","n. a.",IF(I26="in Arbeit","gelb","rot"))))</f>
        <v>rot</v>
      </c>
    </row>
    <row r="27" customFormat="false" ht="30" hidden="false" customHeight="true" outlineLevel="0" collapsed="false">
      <c r="A27" s="13" t="s">
        <v>202</v>
      </c>
      <c r="B27" s="13" t="s">
        <v>203</v>
      </c>
      <c r="C27" s="13" t="s">
        <v>204</v>
      </c>
      <c r="D27" s="13" t="s">
        <v>205</v>
      </c>
      <c r="E27" s="13" t="s">
        <v>137</v>
      </c>
      <c r="F27" s="13" t="s">
        <v>137</v>
      </c>
      <c r="G27" s="13" t="s">
        <v>143</v>
      </c>
      <c r="H27" s="7"/>
      <c r="I27" s="7"/>
      <c r="J27" s="10"/>
      <c r="K27" s="12"/>
      <c r="L27" s="10"/>
      <c r="M27" s="10"/>
      <c r="N27" s="14" t="str">
        <f aca="false">IF(H27="Nein","n. a.",IF(I27="erfüllt","grün",IF(I27="nicht anwendbar","n. a.",IF(I27="in Arbeit","gelb","rot"))))</f>
        <v>rot</v>
      </c>
    </row>
    <row r="28" customFormat="false" ht="30" hidden="false" customHeight="true" outlineLevel="0" collapsed="false">
      <c r="A28" s="13" t="s">
        <v>206</v>
      </c>
      <c r="B28" s="13" t="s">
        <v>203</v>
      </c>
      <c r="C28" s="13" t="s">
        <v>207</v>
      </c>
      <c r="D28" s="13" t="s">
        <v>208</v>
      </c>
      <c r="E28" s="13" t="s">
        <v>137</v>
      </c>
      <c r="F28" s="13" t="s">
        <v>137</v>
      </c>
      <c r="G28" s="13" t="s">
        <v>143</v>
      </c>
      <c r="H28" s="7"/>
      <c r="I28" s="7"/>
      <c r="J28" s="10"/>
      <c r="K28" s="12"/>
      <c r="L28" s="10"/>
      <c r="M28" s="10"/>
      <c r="N28" s="14" t="str">
        <f aca="false">IF(H28="Nein","n. a.",IF(I28="erfüllt","grün",IF(I28="nicht anwendbar","n. a.",IF(I28="in Arbeit","gelb","rot"))))</f>
        <v>rot</v>
      </c>
    </row>
    <row r="29" customFormat="false" ht="30" hidden="false" customHeight="true" outlineLevel="0" collapsed="false">
      <c r="A29" s="13" t="s">
        <v>209</v>
      </c>
      <c r="B29" s="13" t="s">
        <v>203</v>
      </c>
      <c r="C29" s="13" t="s">
        <v>210</v>
      </c>
      <c r="D29" s="13" t="s">
        <v>211</v>
      </c>
      <c r="E29" s="13" t="s">
        <v>137</v>
      </c>
      <c r="F29" s="13" t="s">
        <v>137</v>
      </c>
      <c r="G29" s="13" t="s">
        <v>143</v>
      </c>
      <c r="H29" s="7"/>
      <c r="I29" s="7"/>
      <c r="J29" s="10"/>
      <c r="K29" s="12"/>
      <c r="L29" s="10"/>
      <c r="M29" s="10"/>
      <c r="N29" s="14" t="str">
        <f aca="false">IF(H29="Nein","n. a.",IF(I29="erfüllt","grün",IF(I29="nicht anwendbar","n. a.",IF(I29="in Arbeit","gelb","rot"))))</f>
        <v>rot</v>
      </c>
    </row>
    <row r="30" customFormat="false" ht="30" hidden="false" customHeight="true" outlineLevel="0" collapsed="false">
      <c r="A30" s="13" t="s">
        <v>212</v>
      </c>
      <c r="B30" s="13" t="s">
        <v>203</v>
      </c>
      <c r="C30" s="13" t="s">
        <v>213</v>
      </c>
      <c r="D30" s="13" t="s">
        <v>214</v>
      </c>
      <c r="E30" s="13" t="s">
        <v>137</v>
      </c>
      <c r="F30" s="13" t="s">
        <v>137</v>
      </c>
      <c r="G30" s="13" t="s">
        <v>143</v>
      </c>
      <c r="H30" s="7"/>
      <c r="I30" s="7"/>
      <c r="J30" s="10"/>
      <c r="K30" s="12"/>
      <c r="L30" s="10"/>
      <c r="M30" s="10"/>
      <c r="N30" s="14" t="str">
        <f aca="false">IF(H30="Nein","n. a.",IF(I30="erfüllt","grün",IF(I30="nicht anwendbar","n. a.",IF(I30="in Arbeit","gelb","rot"))))</f>
        <v>rot</v>
      </c>
    </row>
    <row r="31" customFormat="false" ht="30" hidden="false" customHeight="true" outlineLevel="0" collapsed="false">
      <c r="A31" s="13" t="s">
        <v>215</v>
      </c>
      <c r="B31" s="13" t="s">
        <v>203</v>
      </c>
      <c r="C31" s="13" t="s">
        <v>216</v>
      </c>
      <c r="D31" s="13" t="s">
        <v>217</v>
      </c>
      <c r="E31" s="13" t="s">
        <v>192</v>
      </c>
      <c r="F31" s="13" t="s">
        <v>137</v>
      </c>
      <c r="G31" s="13" t="s">
        <v>218</v>
      </c>
      <c r="H31" s="7"/>
      <c r="I31" s="7"/>
      <c r="J31" s="10"/>
      <c r="K31" s="12"/>
      <c r="L31" s="10"/>
      <c r="M31" s="10"/>
      <c r="N31" s="14" t="str">
        <f aca="false">IF(H31="Nein","n. a.",IF(I31="erfüllt","grün",IF(I31="nicht anwendbar","n. a.",IF(I31="in Arbeit","gelb","rot"))))</f>
        <v>rot</v>
      </c>
    </row>
    <row r="32" customFormat="false" ht="30" hidden="false" customHeight="true" outlineLevel="0" collapsed="false">
      <c r="A32" s="13" t="s">
        <v>219</v>
      </c>
      <c r="B32" s="13" t="s">
        <v>203</v>
      </c>
      <c r="C32" s="13" t="s">
        <v>220</v>
      </c>
      <c r="D32" s="13" t="s">
        <v>221</v>
      </c>
      <c r="E32" s="13" t="s">
        <v>137</v>
      </c>
      <c r="F32" s="13" t="s">
        <v>137</v>
      </c>
      <c r="G32" s="13" t="s">
        <v>51</v>
      </c>
      <c r="H32" s="7"/>
      <c r="I32" s="7"/>
      <c r="J32" s="10"/>
      <c r="K32" s="12"/>
      <c r="L32" s="10"/>
      <c r="M32" s="10"/>
      <c r="N32" s="14" t="str">
        <f aca="false">IF(H32="Nein","n. a.",IF(I32="erfüllt","grün",IF(I32="nicht anwendbar","n. a.",IF(I32="in Arbeit","gelb","rot"))))</f>
        <v>rot</v>
      </c>
    </row>
    <row r="33" customFormat="false" ht="30" hidden="false" customHeight="true" outlineLevel="0" collapsed="false">
      <c r="A33" s="13" t="s">
        <v>222</v>
      </c>
      <c r="B33" s="13" t="s">
        <v>203</v>
      </c>
      <c r="C33" s="13" t="s">
        <v>223</v>
      </c>
      <c r="D33" s="13" t="s">
        <v>224</v>
      </c>
      <c r="E33" s="13" t="s">
        <v>225</v>
      </c>
      <c r="F33" s="13" t="s">
        <v>226</v>
      </c>
      <c r="G33" s="13" t="s">
        <v>227</v>
      </c>
      <c r="H33" s="7"/>
      <c r="I33" s="7"/>
      <c r="J33" s="10"/>
      <c r="K33" s="12"/>
      <c r="L33" s="10"/>
      <c r="M33" s="10"/>
      <c r="N33" s="14" t="str">
        <f aca="false">IF(H33="Nein","n. a.",IF(I33="erfüllt","grün",IF(I33="nicht anwendbar","n. a.",IF(I33="in Arbeit","gelb","rot"))))</f>
        <v>rot</v>
      </c>
    </row>
    <row r="34" customFormat="false" ht="30" hidden="false" customHeight="true" outlineLevel="0" collapsed="false">
      <c r="A34" s="13" t="s">
        <v>228</v>
      </c>
      <c r="B34" s="13" t="s">
        <v>203</v>
      </c>
      <c r="C34" s="13" t="s">
        <v>229</v>
      </c>
      <c r="D34" s="13" t="s">
        <v>230</v>
      </c>
      <c r="E34" s="13" t="s">
        <v>137</v>
      </c>
      <c r="F34" s="13" t="s">
        <v>226</v>
      </c>
      <c r="G34" s="13" t="s">
        <v>143</v>
      </c>
      <c r="H34" s="7"/>
      <c r="I34" s="7"/>
      <c r="J34" s="10"/>
      <c r="K34" s="12"/>
      <c r="L34" s="10"/>
      <c r="M34" s="10"/>
      <c r="N34" s="14" t="str">
        <f aca="false">IF(H34="Nein","n. a.",IF(I34="erfüllt","grün",IF(I34="nicht anwendbar","n. a.",IF(I34="in Arbeit","gelb","rot"))))</f>
        <v>rot</v>
      </c>
    </row>
    <row r="35" customFormat="false" ht="30" hidden="false" customHeight="true" outlineLevel="0" collapsed="false">
      <c r="A35" s="13" t="s">
        <v>231</v>
      </c>
      <c r="B35" s="13" t="s">
        <v>232</v>
      </c>
      <c r="C35" s="13" t="s">
        <v>233</v>
      </c>
      <c r="D35" s="13" t="s">
        <v>234</v>
      </c>
      <c r="E35" s="13" t="s">
        <v>178</v>
      </c>
      <c r="F35" s="13" t="s">
        <v>226</v>
      </c>
      <c r="G35" s="13" t="s">
        <v>235</v>
      </c>
      <c r="H35" s="7"/>
      <c r="I35" s="7"/>
      <c r="J35" s="10"/>
      <c r="K35" s="12"/>
      <c r="L35" s="10"/>
      <c r="M35" s="10"/>
      <c r="N35" s="14" t="str">
        <f aca="false">IF(H35="Nein","n. a.",IF(I35="erfüllt","grün",IF(I35="nicht anwendbar","n. a.",IF(I35="in Arbeit","gelb","rot"))))</f>
        <v>rot</v>
      </c>
    </row>
    <row r="36" customFormat="false" ht="30" hidden="false" customHeight="true" outlineLevel="0" collapsed="false">
      <c r="A36" s="13" t="s">
        <v>236</v>
      </c>
      <c r="B36" s="13" t="s">
        <v>232</v>
      </c>
      <c r="C36" s="13" t="s">
        <v>237</v>
      </c>
      <c r="D36" s="13" t="s">
        <v>238</v>
      </c>
      <c r="E36" s="13" t="s">
        <v>136</v>
      </c>
      <c r="F36" s="13" t="s">
        <v>137</v>
      </c>
      <c r="G36" s="13" t="s">
        <v>235</v>
      </c>
      <c r="H36" s="7"/>
      <c r="I36" s="7"/>
      <c r="J36" s="10"/>
      <c r="K36" s="12"/>
      <c r="L36" s="10"/>
      <c r="M36" s="10"/>
      <c r="N36" s="14" t="str">
        <f aca="false">IF(H36="Nein","n. a.",IF(I36="erfüllt","grün",IF(I36="nicht anwendbar","n. a.",IF(I36="in Arbeit","gelb","rot"))))</f>
        <v>rot</v>
      </c>
    </row>
    <row r="37" customFormat="false" ht="30" hidden="false" customHeight="true" outlineLevel="0" collapsed="false">
      <c r="A37" s="13" t="s">
        <v>239</v>
      </c>
      <c r="B37" s="13" t="s">
        <v>232</v>
      </c>
      <c r="C37" s="13" t="s">
        <v>240</v>
      </c>
      <c r="D37" s="13" t="s">
        <v>241</v>
      </c>
      <c r="E37" s="13" t="s">
        <v>136</v>
      </c>
      <c r="F37" s="13" t="s">
        <v>137</v>
      </c>
      <c r="G37" s="13" t="s">
        <v>235</v>
      </c>
      <c r="H37" s="7"/>
      <c r="I37" s="7"/>
      <c r="J37" s="10"/>
      <c r="K37" s="12"/>
      <c r="L37" s="10"/>
      <c r="M37" s="10"/>
      <c r="N37" s="14" t="str">
        <f aca="false">IF(H37="Nein","n. a.",IF(I37="erfüllt","grün",IF(I37="nicht anwendbar","n. a.",IF(I37="in Arbeit","gelb","rot"))))</f>
        <v>rot</v>
      </c>
    </row>
    <row r="38" customFormat="false" ht="30" hidden="false" customHeight="true" outlineLevel="0" collapsed="false">
      <c r="A38" s="13" t="s">
        <v>242</v>
      </c>
      <c r="B38" s="13" t="s">
        <v>203</v>
      </c>
      <c r="C38" s="13" t="s">
        <v>243</v>
      </c>
      <c r="D38" s="13" t="s">
        <v>244</v>
      </c>
      <c r="E38" s="13" t="s">
        <v>137</v>
      </c>
      <c r="F38" s="13" t="s">
        <v>245</v>
      </c>
      <c r="G38" s="13" t="s">
        <v>143</v>
      </c>
      <c r="H38" s="7"/>
      <c r="I38" s="7"/>
      <c r="J38" s="10"/>
      <c r="K38" s="12"/>
      <c r="L38" s="10"/>
      <c r="M38" s="10"/>
      <c r="N38" s="14" t="str">
        <f aca="false">IF(H38="Nein","n. a.",IF(I38="erfüllt","grün",IF(I38="nicht anwendbar","n. a.",IF(I38="in Arbeit","gelb","rot"))))</f>
        <v>rot</v>
      </c>
    </row>
    <row r="39" customFormat="false" ht="30" hidden="false" customHeight="true" outlineLevel="0" collapsed="false">
      <c r="A39" s="13" t="s">
        <v>246</v>
      </c>
      <c r="B39" s="13" t="s">
        <v>192</v>
      </c>
      <c r="C39" s="13" t="s">
        <v>247</v>
      </c>
      <c r="D39" s="13" t="s">
        <v>248</v>
      </c>
      <c r="E39" s="13" t="s">
        <v>192</v>
      </c>
      <c r="F39" s="13" t="s">
        <v>226</v>
      </c>
      <c r="G39" s="13" t="s">
        <v>227</v>
      </c>
      <c r="H39" s="7"/>
      <c r="I39" s="7"/>
      <c r="J39" s="10"/>
      <c r="K39" s="12"/>
      <c r="L39" s="10"/>
      <c r="M39" s="10"/>
      <c r="N39" s="14" t="str">
        <f aca="false">IF(H39="Nein","n. a.",IF(I39="erfüllt","grün",IF(I39="nicht anwendbar","n. a.",IF(I39="in Arbeit","gelb","rot"))))</f>
        <v>rot</v>
      </c>
    </row>
    <row r="40" customFormat="false" ht="30" hidden="false" customHeight="true" outlineLevel="0" collapsed="false">
      <c r="A40" s="13" t="s">
        <v>249</v>
      </c>
      <c r="B40" s="13" t="s">
        <v>192</v>
      </c>
      <c r="C40" s="13" t="s">
        <v>250</v>
      </c>
      <c r="D40" s="13" t="s">
        <v>251</v>
      </c>
      <c r="E40" s="13" t="s">
        <v>192</v>
      </c>
      <c r="F40" s="13" t="s">
        <v>226</v>
      </c>
      <c r="G40" s="13" t="s">
        <v>227</v>
      </c>
      <c r="H40" s="7"/>
      <c r="I40" s="7"/>
      <c r="J40" s="10"/>
      <c r="K40" s="12"/>
      <c r="L40" s="10"/>
      <c r="M40" s="10"/>
      <c r="N40" s="14" t="str">
        <f aca="false">IF(H40="Nein","n. a.",IF(I40="erfüllt","grün",IF(I40="nicht anwendbar","n. a.",IF(I40="in Arbeit","gelb","rot"))))</f>
        <v>rot</v>
      </c>
    </row>
    <row r="41" customFormat="false" ht="30" hidden="false" customHeight="true" outlineLevel="0" collapsed="false">
      <c r="A41" s="13" t="s">
        <v>252</v>
      </c>
      <c r="B41" s="13" t="s">
        <v>192</v>
      </c>
      <c r="C41" s="13" t="s">
        <v>253</v>
      </c>
      <c r="D41" s="13" t="s">
        <v>251</v>
      </c>
      <c r="E41" s="13" t="s">
        <v>192</v>
      </c>
      <c r="F41" s="13" t="s">
        <v>226</v>
      </c>
      <c r="G41" s="13" t="s">
        <v>227</v>
      </c>
      <c r="H41" s="7"/>
      <c r="I41" s="7"/>
      <c r="J41" s="10"/>
      <c r="K41" s="12"/>
      <c r="L41" s="10"/>
      <c r="M41" s="10"/>
      <c r="N41" s="14" t="str">
        <f aca="false">IF(H41="Nein","n. a.",IF(I41="erfüllt","grün",IF(I41="nicht anwendbar","n. a.",IF(I41="in Arbeit","gelb","rot"))))</f>
        <v>rot</v>
      </c>
    </row>
    <row r="42" customFormat="false" ht="30" hidden="false" customHeight="true" outlineLevel="0" collapsed="false">
      <c r="A42" s="13" t="s">
        <v>254</v>
      </c>
      <c r="B42" s="13" t="s">
        <v>192</v>
      </c>
      <c r="C42" s="13" t="s">
        <v>255</v>
      </c>
      <c r="D42" s="13" t="s">
        <v>256</v>
      </c>
      <c r="E42" s="13" t="s">
        <v>192</v>
      </c>
      <c r="F42" s="13" t="s">
        <v>226</v>
      </c>
      <c r="G42" s="13" t="s">
        <v>227</v>
      </c>
      <c r="H42" s="7"/>
      <c r="I42" s="7"/>
      <c r="J42" s="10"/>
      <c r="K42" s="12"/>
      <c r="L42" s="10"/>
      <c r="M42" s="10"/>
      <c r="N42" s="14" t="str">
        <f aca="false">IF(H42="Nein","n. a.",IF(I42="erfüllt","grün",IF(I42="nicht anwendbar","n. a.",IF(I42="in Arbeit","gelb","rot"))))</f>
        <v>rot</v>
      </c>
    </row>
    <row r="43" customFormat="false" ht="30" hidden="false" customHeight="true" outlineLevel="0" collapsed="false">
      <c r="A43" s="13" t="s">
        <v>257</v>
      </c>
      <c r="B43" s="13" t="s">
        <v>192</v>
      </c>
      <c r="C43" s="13" t="s">
        <v>258</v>
      </c>
      <c r="D43" s="13" t="s">
        <v>259</v>
      </c>
      <c r="E43" s="13" t="s">
        <v>192</v>
      </c>
      <c r="F43" s="13" t="s">
        <v>226</v>
      </c>
      <c r="G43" s="13" t="s">
        <v>227</v>
      </c>
      <c r="H43" s="7"/>
      <c r="I43" s="7"/>
      <c r="J43" s="10"/>
      <c r="K43" s="12"/>
      <c r="L43" s="10"/>
      <c r="M43" s="10"/>
      <c r="N43" s="14" t="str">
        <f aca="false">IF(H43="Nein","n. a.",IF(I43="erfüllt","grün",IF(I43="nicht anwendbar","n. a.",IF(I43="in Arbeit","gelb","rot"))))</f>
        <v>rot</v>
      </c>
    </row>
    <row r="44" customFormat="false" ht="30" hidden="false" customHeight="true" outlineLevel="0" collapsed="false">
      <c r="A44" s="13" t="s">
        <v>260</v>
      </c>
      <c r="B44" s="13" t="s">
        <v>192</v>
      </c>
      <c r="C44" s="13" t="s">
        <v>261</v>
      </c>
      <c r="D44" s="13" t="s">
        <v>262</v>
      </c>
      <c r="E44" s="13" t="s">
        <v>192</v>
      </c>
      <c r="F44" s="13" t="s">
        <v>226</v>
      </c>
      <c r="G44" s="13" t="s">
        <v>227</v>
      </c>
      <c r="H44" s="7"/>
      <c r="I44" s="7"/>
      <c r="J44" s="10"/>
      <c r="K44" s="12"/>
      <c r="L44" s="10"/>
      <c r="M44" s="10"/>
      <c r="N44" s="14" t="str">
        <f aca="false">IF(H44="Nein","n. a.",IF(I44="erfüllt","grün",IF(I44="nicht anwendbar","n. a.",IF(I44="in Arbeit","gelb","rot"))))</f>
        <v>rot</v>
      </c>
    </row>
    <row r="45" customFormat="false" ht="30" hidden="false" customHeight="true" outlineLevel="0" collapsed="false">
      <c r="A45" s="13" t="s">
        <v>263</v>
      </c>
      <c r="B45" s="13" t="s">
        <v>192</v>
      </c>
      <c r="C45" s="13" t="s">
        <v>264</v>
      </c>
      <c r="D45" s="13" t="s">
        <v>265</v>
      </c>
      <c r="E45" s="13" t="s">
        <v>192</v>
      </c>
      <c r="F45" s="13" t="s">
        <v>226</v>
      </c>
      <c r="G45" s="13" t="s">
        <v>227</v>
      </c>
      <c r="H45" s="7"/>
      <c r="I45" s="7"/>
      <c r="J45" s="10"/>
      <c r="K45" s="12"/>
      <c r="L45" s="10"/>
      <c r="M45" s="10"/>
      <c r="N45" s="14" t="str">
        <f aca="false">IF(H45="Nein","n. a.",IF(I45="erfüllt","grün",IF(I45="nicht anwendbar","n. a.",IF(I45="in Arbeit","gelb","rot"))))</f>
        <v>rot</v>
      </c>
    </row>
    <row r="46" customFormat="false" ht="30" hidden="false" customHeight="true" outlineLevel="0" collapsed="false">
      <c r="A46" s="13" t="s">
        <v>266</v>
      </c>
      <c r="B46" s="13" t="s">
        <v>192</v>
      </c>
      <c r="C46" s="13" t="s">
        <v>267</v>
      </c>
      <c r="D46" s="13" t="s">
        <v>268</v>
      </c>
      <c r="E46" s="13" t="s">
        <v>192</v>
      </c>
      <c r="F46" s="13" t="s">
        <v>226</v>
      </c>
      <c r="G46" s="13" t="s">
        <v>227</v>
      </c>
      <c r="H46" s="7"/>
      <c r="I46" s="7"/>
      <c r="J46" s="10"/>
      <c r="K46" s="12"/>
      <c r="L46" s="10"/>
      <c r="M46" s="10"/>
      <c r="N46" s="14" t="str">
        <f aca="false">IF(H46="Nein","n. a.",IF(I46="erfüllt","grün",IF(I46="nicht anwendbar","n. a.",IF(I46="in Arbeit","gelb","rot"))))</f>
        <v>rot</v>
      </c>
    </row>
    <row r="47" customFormat="false" ht="30" hidden="false" customHeight="true" outlineLevel="0" collapsed="false">
      <c r="A47" s="13" t="s">
        <v>269</v>
      </c>
      <c r="B47" s="13" t="s">
        <v>192</v>
      </c>
      <c r="C47" s="13" t="s">
        <v>270</v>
      </c>
      <c r="D47" s="13" t="s">
        <v>271</v>
      </c>
      <c r="E47" s="13" t="s">
        <v>192</v>
      </c>
      <c r="F47" s="13" t="s">
        <v>226</v>
      </c>
      <c r="G47" s="13" t="s">
        <v>227</v>
      </c>
      <c r="H47" s="7"/>
      <c r="I47" s="7"/>
      <c r="J47" s="10"/>
      <c r="K47" s="12"/>
      <c r="L47" s="10"/>
      <c r="M47" s="10"/>
      <c r="N47" s="14" t="str">
        <f aca="false">IF(H47="Nein","n. a.",IF(I47="erfüllt","grün",IF(I47="nicht anwendbar","n. a.",IF(I47="in Arbeit","gelb","rot"))))</f>
        <v>rot</v>
      </c>
    </row>
    <row r="48" customFormat="false" ht="30" hidden="false" customHeight="true" outlineLevel="0" collapsed="false">
      <c r="A48" s="13" t="s">
        <v>272</v>
      </c>
      <c r="B48" s="13" t="s">
        <v>192</v>
      </c>
      <c r="C48" s="13" t="s">
        <v>273</v>
      </c>
      <c r="D48" s="13" t="s">
        <v>274</v>
      </c>
      <c r="E48" s="13" t="s">
        <v>192</v>
      </c>
      <c r="F48" s="13" t="s">
        <v>226</v>
      </c>
      <c r="G48" s="13" t="s">
        <v>227</v>
      </c>
      <c r="H48" s="7"/>
      <c r="I48" s="7"/>
      <c r="J48" s="10"/>
      <c r="K48" s="12"/>
      <c r="L48" s="10"/>
      <c r="M48" s="10"/>
      <c r="N48" s="14" t="str">
        <f aca="false">IF(H48="Nein","n. a.",IF(I48="erfüllt","grün",IF(I48="nicht anwendbar","n. a.",IF(I48="in Arbeit","gelb","rot"))))</f>
        <v>rot</v>
      </c>
    </row>
    <row r="49" customFormat="false" ht="30" hidden="false" customHeight="true" outlineLevel="0" collapsed="false">
      <c r="A49" s="13" t="s">
        <v>275</v>
      </c>
      <c r="B49" s="13" t="s">
        <v>192</v>
      </c>
      <c r="C49" s="13" t="s">
        <v>276</v>
      </c>
      <c r="D49" s="13" t="s">
        <v>277</v>
      </c>
      <c r="E49" s="13" t="s">
        <v>192</v>
      </c>
      <c r="F49" s="13" t="s">
        <v>226</v>
      </c>
      <c r="G49" s="13" t="s">
        <v>227</v>
      </c>
      <c r="H49" s="7"/>
      <c r="I49" s="7"/>
      <c r="J49" s="10"/>
      <c r="K49" s="12"/>
      <c r="L49" s="10"/>
      <c r="M49" s="10"/>
      <c r="N49" s="14" t="str">
        <f aca="false">IF(H49="Nein","n. a.",IF(I49="erfüllt","grün",IF(I49="nicht anwendbar","n. a.",IF(I49="in Arbeit","gelb","rot"))))</f>
        <v>rot</v>
      </c>
    </row>
    <row r="50" customFormat="false" ht="30" hidden="false" customHeight="true" outlineLevel="0" collapsed="false">
      <c r="A50" s="13" t="s">
        <v>278</v>
      </c>
      <c r="B50" s="13" t="s">
        <v>192</v>
      </c>
      <c r="C50" s="13" t="s">
        <v>279</v>
      </c>
      <c r="D50" s="13" t="s">
        <v>280</v>
      </c>
      <c r="E50" s="13" t="s">
        <v>192</v>
      </c>
      <c r="F50" s="13" t="s">
        <v>281</v>
      </c>
      <c r="G50" s="13" t="s">
        <v>55</v>
      </c>
      <c r="H50" s="7"/>
      <c r="I50" s="7"/>
      <c r="J50" s="10"/>
      <c r="K50" s="12"/>
      <c r="L50" s="10"/>
      <c r="M50" s="10"/>
      <c r="N50" s="14" t="str">
        <f aca="false">IF(H50="Nein","n. a.",IF(I50="erfüllt","grün",IF(I50="nicht anwendbar","n. a.",IF(I50="in Arbeit","gelb","rot"))))</f>
        <v>rot</v>
      </c>
    </row>
    <row r="51" customFormat="false" ht="30" hidden="false" customHeight="true" outlineLevel="0" collapsed="false">
      <c r="A51" s="13" t="s">
        <v>282</v>
      </c>
      <c r="B51" s="13" t="s">
        <v>192</v>
      </c>
      <c r="C51" s="13" t="s">
        <v>283</v>
      </c>
      <c r="D51" s="13" t="s">
        <v>284</v>
      </c>
      <c r="E51" s="13" t="s">
        <v>192</v>
      </c>
      <c r="F51" s="13" t="s">
        <v>226</v>
      </c>
      <c r="G51" s="13" t="s">
        <v>227</v>
      </c>
      <c r="H51" s="7"/>
      <c r="I51" s="7"/>
      <c r="J51" s="10"/>
      <c r="K51" s="12"/>
      <c r="L51" s="10"/>
      <c r="M51" s="10"/>
      <c r="N51" s="14" t="str">
        <f aca="false">IF(H51="Nein","n. a.",IF(I51="erfüllt","grün",IF(I51="nicht anwendbar","n. a.",IF(I51="in Arbeit","gelb","rot"))))</f>
        <v>rot</v>
      </c>
    </row>
    <row r="52" customFormat="false" ht="30" hidden="false" customHeight="true" outlineLevel="0" collapsed="false">
      <c r="A52" s="13" t="s">
        <v>285</v>
      </c>
      <c r="B52" s="13" t="s">
        <v>192</v>
      </c>
      <c r="C52" s="13" t="s">
        <v>286</v>
      </c>
      <c r="D52" s="13" t="s">
        <v>287</v>
      </c>
      <c r="E52" s="13" t="s">
        <v>192</v>
      </c>
      <c r="F52" s="13" t="s">
        <v>288</v>
      </c>
      <c r="G52" s="13" t="s">
        <v>289</v>
      </c>
      <c r="H52" s="7"/>
      <c r="I52" s="7"/>
      <c r="J52" s="10"/>
      <c r="K52" s="12"/>
      <c r="L52" s="10"/>
      <c r="M52" s="10"/>
      <c r="N52" s="14" t="str">
        <f aca="false">IF(H52="Nein","n. a.",IF(I52="erfüllt","grün",IF(I52="nicht anwendbar","n. a.",IF(I52="in Arbeit","gelb","rot"))))</f>
        <v>rot</v>
      </c>
    </row>
    <row r="53" customFormat="false" ht="30" hidden="false" customHeight="true" outlineLevel="0" collapsed="false">
      <c r="A53" s="13" t="s">
        <v>290</v>
      </c>
      <c r="B53" s="13" t="s">
        <v>192</v>
      </c>
      <c r="C53" s="13" t="s">
        <v>291</v>
      </c>
      <c r="D53" s="13" t="s">
        <v>292</v>
      </c>
      <c r="E53" s="13" t="s">
        <v>192</v>
      </c>
      <c r="F53" s="13" t="s">
        <v>281</v>
      </c>
      <c r="G53" s="13" t="s">
        <v>55</v>
      </c>
      <c r="H53" s="7"/>
      <c r="I53" s="7"/>
      <c r="J53" s="10"/>
      <c r="K53" s="12"/>
      <c r="L53" s="10"/>
      <c r="M53" s="10"/>
      <c r="N53" s="14" t="str">
        <f aca="false">IF(H53="Nein","n. a.",IF(I53="erfüllt","grün",IF(I53="nicht anwendbar","n. a.",IF(I53="in Arbeit","gelb","rot"))))</f>
        <v>rot</v>
      </c>
    </row>
    <row r="54" customFormat="false" ht="30" hidden="false" customHeight="true" outlineLevel="0" collapsed="false">
      <c r="A54" s="13" t="s">
        <v>293</v>
      </c>
      <c r="B54" s="13" t="s">
        <v>294</v>
      </c>
      <c r="C54" s="13" t="s">
        <v>295</v>
      </c>
      <c r="D54" s="13" t="s">
        <v>296</v>
      </c>
      <c r="E54" s="13" t="s">
        <v>192</v>
      </c>
      <c r="F54" s="13" t="s">
        <v>281</v>
      </c>
      <c r="G54" s="13" t="s">
        <v>297</v>
      </c>
      <c r="H54" s="7"/>
      <c r="I54" s="7"/>
      <c r="J54" s="10"/>
      <c r="K54" s="12"/>
      <c r="L54" s="10"/>
      <c r="M54" s="10"/>
      <c r="N54" s="14" t="str">
        <f aca="false">IF(H54="Nein","n. a.",IF(I54="erfüllt","grün",IF(I54="nicht anwendbar","n. a.",IF(I54="in Arbeit","gelb","rot"))))</f>
        <v>rot</v>
      </c>
    </row>
    <row r="55" customFormat="false" ht="30" hidden="false" customHeight="true" outlineLevel="0" collapsed="false">
      <c r="A55" s="13" t="s">
        <v>298</v>
      </c>
      <c r="B55" s="13" t="s">
        <v>294</v>
      </c>
      <c r="C55" s="13" t="s">
        <v>299</v>
      </c>
      <c r="D55" s="13" t="s">
        <v>300</v>
      </c>
      <c r="E55" s="13" t="s">
        <v>192</v>
      </c>
      <c r="F55" s="13" t="s">
        <v>281</v>
      </c>
      <c r="G55" s="13" t="s">
        <v>297</v>
      </c>
      <c r="H55" s="7"/>
      <c r="I55" s="7"/>
      <c r="J55" s="10"/>
      <c r="K55" s="12"/>
      <c r="L55" s="10"/>
      <c r="M55" s="10"/>
      <c r="N55" s="14" t="str">
        <f aca="false">IF(H55="Nein","n. a.",IF(I55="erfüllt","grün",IF(I55="nicht anwendbar","n. a.",IF(I55="in Arbeit","gelb","rot"))))</f>
        <v>rot</v>
      </c>
    </row>
    <row r="56" customFormat="false" ht="30" hidden="false" customHeight="true" outlineLevel="0" collapsed="false">
      <c r="A56" s="13" t="s">
        <v>301</v>
      </c>
      <c r="B56" s="13" t="s">
        <v>294</v>
      </c>
      <c r="C56" s="13" t="s">
        <v>302</v>
      </c>
      <c r="D56" s="13" t="s">
        <v>303</v>
      </c>
      <c r="E56" s="13" t="s">
        <v>192</v>
      </c>
      <c r="F56" s="13" t="s">
        <v>281</v>
      </c>
      <c r="G56" s="13" t="s">
        <v>304</v>
      </c>
      <c r="H56" s="7"/>
      <c r="I56" s="7"/>
      <c r="J56" s="10"/>
      <c r="K56" s="12"/>
      <c r="L56" s="10"/>
      <c r="M56" s="10"/>
      <c r="N56" s="14" t="str">
        <f aca="false">IF(H56="Nein","n. a.",IF(I56="erfüllt","grün",IF(I56="nicht anwendbar","n. a.",IF(I56="in Arbeit","gelb","rot"))))</f>
        <v>rot</v>
      </c>
    </row>
    <row r="57" customFormat="false" ht="30" hidden="false" customHeight="true" outlineLevel="0" collapsed="false">
      <c r="A57" s="13" t="s">
        <v>305</v>
      </c>
      <c r="B57" s="13" t="s">
        <v>294</v>
      </c>
      <c r="C57" s="13" t="s">
        <v>306</v>
      </c>
      <c r="D57" s="13" t="s">
        <v>307</v>
      </c>
      <c r="E57" s="13" t="s">
        <v>192</v>
      </c>
      <c r="F57" s="13" t="s">
        <v>281</v>
      </c>
      <c r="G57" s="13" t="s">
        <v>143</v>
      </c>
      <c r="H57" s="7"/>
      <c r="I57" s="7"/>
      <c r="J57" s="10"/>
      <c r="K57" s="12"/>
      <c r="L57" s="10"/>
      <c r="M57" s="10"/>
      <c r="N57" s="14" t="str">
        <f aca="false">IF(H57="Nein","n. a.",IF(I57="erfüllt","grün",IF(I57="nicht anwendbar","n. a.",IF(I57="in Arbeit","gelb","rot"))))</f>
        <v>rot</v>
      </c>
    </row>
    <row r="58" customFormat="false" ht="30" hidden="false" customHeight="true" outlineLevel="0" collapsed="false">
      <c r="A58" s="13" t="s">
        <v>308</v>
      </c>
      <c r="B58" s="13" t="s">
        <v>178</v>
      </c>
      <c r="C58" s="13" t="s">
        <v>309</v>
      </c>
      <c r="D58" s="13" t="s">
        <v>310</v>
      </c>
      <c r="E58" s="13" t="s">
        <v>178</v>
      </c>
      <c r="F58" s="13" t="s">
        <v>226</v>
      </c>
      <c r="G58" s="13" t="s">
        <v>227</v>
      </c>
      <c r="H58" s="7"/>
      <c r="I58" s="7"/>
      <c r="J58" s="10"/>
      <c r="K58" s="12"/>
      <c r="L58" s="10"/>
      <c r="M58" s="10"/>
      <c r="N58" s="14" t="str">
        <f aca="false">IF(H58="Nein","n. a.",IF(I58="erfüllt","grün",IF(I58="nicht anwendbar","n. a.",IF(I58="in Arbeit","gelb","rot"))))</f>
        <v>rot</v>
      </c>
    </row>
    <row r="59" customFormat="false" ht="30" hidden="false" customHeight="true" outlineLevel="0" collapsed="false">
      <c r="A59" s="13" t="s">
        <v>311</v>
      </c>
      <c r="B59" s="13" t="s">
        <v>178</v>
      </c>
      <c r="C59" s="13" t="s">
        <v>312</v>
      </c>
      <c r="D59" s="13" t="s">
        <v>313</v>
      </c>
      <c r="E59" s="13" t="s">
        <v>178</v>
      </c>
      <c r="F59" s="13" t="s">
        <v>226</v>
      </c>
      <c r="G59" s="13" t="s">
        <v>227</v>
      </c>
      <c r="H59" s="7"/>
      <c r="I59" s="7"/>
      <c r="J59" s="10"/>
      <c r="K59" s="12"/>
      <c r="L59" s="10"/>
      <c r="M59" s="10"/>
      <c r="N59" s="14" t="str">
        <f aca="false">IF(H59="Nein","n. a.",IF(I59="erfüllt","grün",IF(I59="nicht anwendbar","n. a.",IF(I59="in Arbeit","gelb","rot"))))</f>
        <v>rot</v>
      </c>
    </row>
    <row r="60" customFormat="false" ht="30" hidden="false" customHeight="true" outlineLevel="0" collapsed="false">
      <c r="A60" s="13" t="s">
        <v>314</v>
      </c>
      <c r="B60" s="13" t="s">
        <v>178</v>
      </c>
      <c r="C60" s="13" t="s">
        <v>315</v>
      </c>
      <c r="D60" s="13" t="s">
        <v>316</v>
      </c>
      <c r="E60" s="13" t="s">
        <v>178</v>
      </c>
      <c r="F60" s="13" t="s">
        <v>226</v>
      </c>
      <c r="G60" s="13" t="s">
        <v>227</v>
      </c>
      <c r="H60" s="7"/>
      <c r="I60" s="7"/>
      <c r="J60" s="10"/>
      <c r="K60" s="12"/>
      <c r="L60" s="10"/>
      <c r="M60" s="10"/>
      <c r="N60" s="14" t="str">
        <f aca="false">IF(H60="Nein","n. a.",IF(I60="erfüllt","grün",IF(I60="nicht anwendbar","n. a.",IF(I60="in Arbeit","gelb","rot"))))</f>
        <v>rot</v>
      </c>
    </row>
    <row r="61" customFormat="false" ht="30" hidden="false" customHeight="true" outlineLevel="0" collapsed="false">
      <c r="A61" s="13" t="s">
        <v>317</v>
      </c>
      <c r="B61" s="13" t="s">
        <v>178</v>
      </c>
      <c r="C61" s="13" t="s">
        <v>318</v>
      </c>
      <c r="D61" s="13" t="s">
        <v>319</v>
      </c>
      <c r="E61" s="13" t="s">
        <v>178</v>
      </c>
      <c r="F61" s="13" t="s">
        <v>226</v>
      </c>
      <c r="G61" s="13" t="s">
        <v>227</v>
      </c>
      <c r="H61" s="7"/>
      <c r="I61" s="7"/>
      <c r="J61" s="10"/>
      <c r="K61" s="12"/>
      <c r="L61" s="10"/>
      <c r="M61" s="10"/>
      <c r="N61" s="14" t="str">
        <f aca="false">IF(H61="Nein","n. a.",IF(I61="erfüllt","grün",IF(I61="nicht anwendbar","n. a.",IF(I61="in Arbeit","gelb","rot"))))</f>
        <v>rot</v>
      </c>
    </row>
    <row r="62" customFormat="false" ht="30" hidden="false" customHeight="true" outlineLevel="0" collapsed="false">
      <c r="A62" s="13" t="s">
        <v>320</v>
      </c>
      <c r="B62" s="13" t="s">
        <v>178</v>
      </c>
      <c r="C62" s="13" t="s">
        <v>321</v>
      </c>
      <c r="D62" s="13" t="s">
        <v>322</v>
      </c>
      <c r="E62" s="13" t="s">
        <v>178</v>
      </c>
      <c r="F62" s="13" t="s">
        <v>226</v>
      </c>
      <c r="G62" s="13" t="s">
        <v>227</v>
      </c>
      <c r="H62" s="7"/>
      <c r="I62" s="7"/>
      <c r="J62" s="10"/>
      <c r="K62" s="12"/>
      <c r="L62" s="10"/>
      <c r="M62" s="10"/>
      <c r="N62" s="14" t="str">
        <f aca="false">IF(H62="Nein","n. a.",IF(I62="erfüllt","grün",IF(I62="nicht anwendbar","n. a.",IF(I62="in Arbeit","gelb","rot"))))</f>
        <v>rot</v>
      </c>
    </row>
    <row r="63" customFormat="false" ht="30" hidden="false" customHeight="true" outlineLevel="0" collapsed="false">
      <c r="A63" s="13" t="s">
        <v>323</v>
      </c>
      <c r="B63" s="13" t="s">
        <v>178</v>
      </c>
      <c r="C63" s="13" t="s">
        <v>324</v>
      </c>
      <c r="D63" s="13" t="s">
        <v>325</v>
      </c>
      <c r="E63" s="13" t="s">
        <v>178</v>
      </c>
      <c r="F63" s="13" t="s">
        <v>226</v>
      </c>
      <c r="G63" s="13" t="s">
        <v>227</v>
      </c>
      <c r="H63" s="7"/>
      <c r="I63" s="7"/>
      <c r="J63" s="10"/>
      <c r="K63" s="12"/>
      <c r="L63" s="10"/>
      <c r="M63" s="10"/>
      <c r="N63" s="14" t="str">
        <f aca="false">IF(H63="Nein","n. a.",IF(I63="erfüllt","grün",IF(I63="nicht anwendbar","n. a.",IF(I63="in Arbeit","gelb","rot"))))</f>
        <v>rot</v>
      </c>
    </row>
    <row r="64" customFormat="false" ht="30" hidden="false" customHeight="true" outlineLevel="0" collapsed="false">
      <c r="A64" s="13" t="s">
        <v>326</v>
      </c>
      <c r="B64" s="13" t="s">
        <v>178</v>
      </c>
      <c r="C64" s="13" t="s">
        <v>327</v>
      </c>
      <c r="D64" s="13" t="s">
        <v>328</v>
      </c>
      <c r="E64" s="13" t="s">
        <v>178</v>
      </c>
      <c r="F64" s="13" t="s">
        <v>226</v>
      </c>
      <c r="G64" s="13" t="s">
        <v>227</v>
      </c>
      <c r="H64" s="7"/>
      <c r="I64" s="7"/>
      <c r="J64" s="10"/>
      <c r="K64" s="12"/>
      <c r="L64" s="10"/>
      <c r="M64" s="10"/>
      <c r="N64" s="14" t="str">
        <f aca="false">IF(H64="Nein","n. a.",IF(I64="erfüllt","grün",IF(I64="nicht anwendbar","n. a.",IF(I64="in Arbeit","gelb","rot"))))</f>
        <v>rot</v>
      </c>
    </row>
    <row r="65" customFormat="false" ht="30" hidden="false" customHeight="true" outlineLevel="0" collapsed="false">
      <c r="A65" s="13" t="s">
        <v>329</v>
      </c>
      <c r="B65" s="13" t="s">
        <v>178</v>
      </c>
      <c r="C65" s="13" t="s">
        <v>330</v>
      </c>
      <c r="D65" s="13" t="s">
        <v>331</v>
      </c>
      <c r="E65" s="13" t="s">
        <v>178</v>
      </c>
      <c r="F65" s="13" t="s">
        <v>226</v>
      </c>
      <c r="G65" s="13" t="s">
        <v>227</v>
      </c>
      <c r="H65" s="7"/>
      <c r="I65" s="7"/>
      <c r="J65" s="10"/>
      <c r="K65" s="12"/>
      <c r="L65" s="10"/>
      <c r="M65" s="10"/>
      <c r="N65" s="14" t="str">
        <f aca="false">IF(H65="Nein","n. a.",IF(I65="erfüllt","grün",IF(I65="nicht anwendbar","n. a.",IF(I65="in Arbeit","gelb","rot"))))</f>
        <v>rot</v>
      </c>
    </row>
    <row r="66" customFormat="false" ht="30" hidden="false" customHeight="true" outlineLevel="0" collapsed="false">
      <c r="A66" s="13" t="s">
        <v>332</v>
      </c>
      <c r="B66" s="13" t="s">
        <v>178</v>
      </c>
      <c r="C66" s="13" t="s">
        <v>333</v>
      </c>
      <c r="D66" s="13" t="s">
        <v>334</v>
      </c>
      <c r="E66" s="13" t="s">
        <v>136</v>
      </c>
      <c r="F66" s="13" t="s">
        <v>281</v>
      </c>
      <c r="G66" s="13" t="s">
        <v>55</v>
      </c>
      <c r="H66" s="7"/>
      <c r="I66" s="7"/>
      <c r="J66" s="10"/>
      <c r="K66" s="12"/>
      <c r="L66" s="10"/>
      <c r="M66" s="10"/>
      <c r="N66" s="14" t="str">
        <f aca="false">IF(H66="Nein","n. a.",IF(I66="erfüllt","grün",IF(I66="nicht anwendbar","n. a.",IF(I66="in Arbeit","gelb","rot"))))</f>
        <v>rot</v>
      </c>
    </row>
    <row r="67" customFormat="false" ht="30" hidden="false" customHeight="true" outlineLevel="0" collapsed="false">
      <c r="A67" s="13" t="s">
        <v>335</v>
      </c>
      <c r="B67" s="13" t="s">
        <v>178</v>
      </c>
      <c r="C67" s="13" t="s">
        <v>336</v>
      </c>
      <c r="D67" s="13" t="s">
        <v>337</v>
      </c>
      <c r="E67" s="13" t="s">
        <v>178</v>
      </c>
      <c r="F67" s="13" t="s">
        <v>226</v>
      </c>
      <c r="G67" s="13" t="s">
        <v>227</v>
      </c>
      <c r="H67" s="7"/>
      <c r="I67" s="7"/>
      <c r="J67" s="10"/>
      <c r="K67" s="12"/>
      <c r="L67" s="10"/>
      <c r="M67" s="10"/>
      <c r="N67" s="14" t="str">
        <f aca="false">IF(H67="Nein","n. a.",IF(I67="erfüllt","grün",IF(I67="nicht anwendbar","n. a.",IF(I67="in Arbeit","gelb","rot"))))</f>
        <v>rot</v>
      </c>
    </row>
    <row r="68" customFormat="false" ht="30" hidden="false" customHeight="true" outlineLevel="0" collapsed="false">
      <c r="A68" s="13" t="s">
        <v>338</v>
      </c>
      <c r="B68" s="13" t="s">
        <v>178</v>
      </c>
      <c r="C68" s="13" t="s">
        <v>339</v>
      </c>
      <c r="D68" s="13" t="s">
        <v>340</v>
      </c>
      <c r="E68" s="13" t="s">
        <v>178</v>
      </c>
      <c r="F68" s="13" t="s">
        <v>226</v>
      </c>
      <c r="G68" s="13" t="s">
        <v>227</v>
      </c>
      <c r="H68" s="7"/>
      <c r="I68" s="7"/>
      <c r="J68" s="10"/>
      <c r="K68" s="12"/>
      <c r="L68" s="10"/>
      <c r="M68" s="10"/>
      <c r="N68" s="14" t="str">
        <f aca="false">IF(H68="Nein","n. a.",IF(I68="erfüllt","grün",IF(I68="nicht anwendbar","n. a.",IF(I68="in Arbeit","gelb","rot"))))</f>
        <v>rot</v>
      </c>
    </row>
    <row r="69" customFormat="false" ht="30" hidden="false" customHeight="true" outlineLevel="0" collapsed="false">
      <c r="A69" s="13" t="s">
        <v>341</v>
      </c>
      <c r="B69" s="13" t="s">
        <v>178</v>
      </c>
      <c r="C69" s="13" t="s">
        <v>342</v>
      </c>
      <c r="D69" s="13" t="s">
        <v>343</v>
      </c>
      <c r="E69" s="13" t="s">
        <v>178</v>
      </c>
      <c r="F69" s="13" t="s">
        <v>226</v>
      </c>
      <c r="G69" s="13" t="s">
        <v>227</v>
      </c>
      <c r="H69" s="7"/>
      <c r="I69" s="7"/>
      <c r="J69" s="10"/>
      <c r="K69" s="12"/>
      <c r="L69" s="10"/>
      <c r="M69" s="10"/>
      <c r="N69" s="14" t="str">
        <f aca="false">IF(H69="Nein","n. a.",IF(I69="erfüllt","grün",IF(I69="nicht anwendbar","n. a.",IF(I69="in Arbeit","gelb","rot"))))</f>
        <v>rot</v>
      </c>
    </row>
    <row r="70" customFormat="false" ht="30" hidden="false" customHeight="true" outlineLevel="0" collapsed="false">
      <c r="A70" s="13" t="s">
        <v>344</v>
      </c>
      <c r="B70" s="13" t="s">
        <v>178</v>
      </c>
      <c r="C70" s="13" t="s">
        <v>345</v>
      </c>
      <c r="D70" s="13" t="s">
        <v>346</v>
      </c>
      <c r="E70" s="13" t="s">
        <v>178</v>
      </c>
      <c r="F70" s="13" t="s">
        <v>226</v>
      </c>
      <c r="G70" s="13" t="s">
        <v>227</v>
      </c>
      <c r="H70" s="7"/>
      <c r="I70" s="7"/>
      <c r="J70" s="10"/>
      <c r="K70" s="12"/>
      <c r="L70" s="10"/>
      <c r="M70" s="10"/>
      <c r="N70" s="14" t="str">
        <f aca="false">IF(H70="Nein","n. a.",IF(I70="erfüllt","grün",IF(I70="nicht anwendbar","n. a.",IF(I70="in Arbeit","gelb","rot"))))</f>
        <v>rot</v>
      </c>
    </row>
    <row r="71" customFormat="false" ht="30" hidden="false" customHeight="true" outlineLevel="0" collapsed="false">
      <c r="A71" s="13" t="s">
        <v>347</v>
      </c>
      <c r="B71" s="13" t="s">
        <v>178</v>
      </c>
      <c r="C71" s="13" t="s">
        <v>348</v>
      </c>
      <c r="D71" s="13" t="s">
        <v>349</v>
      </c>
      <c r="E71" s="13" t="s">
        <v>178</v>
      </c>
      <c r="F71" s="13" t="s">
        <v>226</v>
      </c>
      <c r="G71" s="13" t="s">
        <v>227</v>
      </c>
      <c r="H71" s="7"/>
      <c r="I71" s="7"/>
      <c r="J71" s="10"/>
      <c r="K71" s="12"/>
      <c r="L71" s="10"/>
      <c r="M71" s="10"/>
      <c r="N71" s="14" t="str">
        <f aca="false">IF(H71="Nein","n. a.",IF(I71="erfüllt","grün",IF(I71="nicht anwendbar","n. a.",IF(I71="in Arbeit","gelb","rot"))))</f>
        <v>rot</v>
      </c>
    </row>
    <row r="72" customFormat="false" ht="30" hidden="false" customHeight="true" outlineLevel="0" collapsed="false">
      <c r="A72" s="13" t="s">
        <v>350</v>
      </c>
      <c r="B72" s="13" t="s">
        <v>178</v>
      </c>
      <c r="C72" s="13" t="s">
        <v>351</v>
      </c>
      <c r="D72" s="13" t="s">
        <v>352</v>
      </c>
      <c r="E72" s="13" t="s">
        <v>178</v>
      </c>
      <c r="F72" s="13" t="s">
        <v>226</v>
      </c>
      <c r="G72" s="13" t="s">
        <v>227</v>
      </c>
      <c r="H72" s="7"/>
      <c r="I72" s="7"/>
      <c r="J72" s="10"/>
      <c r="K72" s="12"/>
      <c r="L72" s="10"/>
      <c r="M72" s="10"/>
      <c r="N72" s="14" t="str">
        <f aca="false">IF(H72="Nein","n. a.",IF(I72="erfüllt","grün",IF(I72="nicht anwendbar","n. a.",IF(I72="in Arbeit","gelb","rot"))))</f>
        <v>rot</v>
      </c>
    </row>
    <row r="73" customFormat="false" ht="30" hidden="false" customHeight="true" outlineLevel="0" collapsed="false">
      <c r="A73" s="13" t="s">
        <v>353</v>
      </c>
      <c r="B73" s="13" t="s">
        <v>178</v>
      </c>
      <c r="C73" s="13" t="s">
        <v>354</v>
      </c>
      <c r="D73" s="13" t="s">
        <v>355</v>
      </c>
      <c r="E73" s="13" t="s">
        <v>178</v>
      </c>
      <c r="F73" s="13" t="s">
        <v>226</v>
      </c>
      <c r="G73" s="13" t="s">
        <v>227</v>
      </c>
      <c r="H73" s="7"/>
      <c r="I73" s="7"/>
      <c r="J73" s="10"/>
      <c r="K73" s="12"/>
      <c r="L73" s="10"/>
      <c r="M73" s="10"/>
      <c r="N73" s="14" t="str">
        <f aca="false">IF(H73="Nein","n. a.",IF(I73="erfüllt","grün",IF(I73="nicht anwendbar","n. a.",IF(I73="in Arbeit","gelb","rot"))))</f>
        <v>rot</v>
      </c>
    </row>
    <row r="74" customFormat="false" ht="30" hidden="false" customHeight="true" outlineLevel="0" collapsed="false">
      <c r="A74" s="13" t="s">
        <v>356</v>
      </c>
      <c r="B74" s="13" t="s">
        <v>178</v>
      </c>
      <c r="C74" s="13" t="s">
        <v>283</v>
      </c>
      <c r="D74" s="13" t="s">
        <v>357</v>
      </c>
      <c r="E74" s="13" t="s">
        <v>178</v>
      </c>
      <c r="F74" s="13" t="s">
        <v>226</v>
      </c>
      <c r="G74" s="13" t="s">
        <v>227</v>
      </c>
      <c r="H74" s="7"/>
      <c r="I74" s="7"/>
      <c r="J74" s="10"/>
      <c r="K74" s="12"/>
      <c r="L74" s="10"/>
      <c r="M74" s="10"/>
      <c r="N74" s="14" t="str">
        <f aca="false">IF(H74="Nein","n. a.",IF(I74="erfüllt","grün",IF(I74="nicht anwendbar","n. a.",IF(I74="in Arbeit","gelb","rot"))))</f>
        <v>rot</v>
      </c>
    </row>
    <row r="75" customFormat="false" ht="30" hidden="false" customHeight="true" outlineLevel="0" collapsed="false">
      <c r="A75" s="13" t="s">
        <v>358</v>
      </c>
      <c r="B75" s="13" t="s">
        <v>178</v>
      </c>
      <c r="C75" s="13" t="s">
        <v>359</v>
      </c>
      <c r="D75" s="13" t="s">
        <v>360</v>
      </c>
      <c r="E75" s="13" t="s">
        <v>178</v>
      </c>
      <c r="F75" s="13" t="s">
        <v>226</v>
      </c>
      <c r="G75" s="13" t="s">
        <v>227</v>
      </c>
      <c r="H75" s="7"/>
      <c r="I75" s="7"/>
      <c r="J75" s="10"/>
      <c r="K75" s="12"/>
      <c r="L75" s="10"/>
      <c r="M75" s="10"/>
      <c r="N75" s="14" t="str">
        <f aca="false">IF(H75="Nein","n. a.",IF(I75="erfüllt","grün",IF(I75="nicht anwendbar","n. a.",IF(I75="in Arbeit","gelb","rot"))))</f>
        <v>rot</v>
      </c>
    </row>
    <row r="76" customFormat="false" ht="30" hidden="false" customHeight="true" outlineLevel="0" collapsed="false">
      <c r="A76" s="13" t="s">
        <v>361</v>
      </c>
      <c r="B76" s="13" t="s">
        <v>178</v>
      </c>
      <c r="C76" s="13" t="s">
        <v>362</v>
      </c>
      <c r="D76" s="13" t="s">
        <v>363</v>
      </c>
      <c r="E76" s="13" t="s">
        <v>178</v>
      </c>
      <c r="F76" s="13" t="s">
        <v>226</v>
      </c>
      <c r="G76" s="13" t="s">
        <v>289</v>
      </c>
      <c r="H76" s="7"/>
      <c r="I76" s="7"/>
      <c r="J76" s="10"/>
      <c r="K76" s="12"/>
      <c r="L76" s="10"/>
      <c r="M76" s="10"/>
      <c r="N76" s="14" t="str">
        <f aca="false">IF(H76="Nein","n. a.",IF(I76="erfüllt","grün",IF(I76="nicht anwendbar","n. a.",IF(I76="in Arbeit","gelb","rot"))))</f>
        <v>rot</v>
      </c>
    </row>
    <row r="77" customFormat="false" ht="30" hidden="false" customHeight="true" outlineLevel="0" collapsed="false">
      <c r="A77" s="13" t="s">
        <v>364</v>
      </c>
      <c r="B77" s="13" t="s">
        <v>178</v>
      </c>
      <c r="C77" s="13" t="s">
        <v>365</v>
      </c>
      <c r="D77" s="13" t="s">
        <v>366</v>
      </c>
      <c r="E77" s="13" t="s">
        <v>178</v>
      </c>
      <c r="F77" s="13" t="s">
        <v>226</v>
      </c>
      <c r="G77" s="13" t="s">
        <v>227</v>
      </c>
      <c r="H77" s="7"/>
      <c r="I77" s="7"/>
      <c r="J77" s="10"/>
      <c r="K77" s="12"/>
      <c r="L77" s="10"/>
      <c r="M77" s="10"/>
      <c r="N77" s="14" t="str">
        <f aca="false">IF(H77="Nein","n. a.",IF(I77="erfüllt","grün",IF(I77="nicht anwendbar","n. a.",IF(I77="in Arbeit","gelb","rot"))))</f>
        <v>rot</v>
      </c>
    </row>
    <row r="78" customFormat="false" ht="30" hidden="false" customHeight="true" outlineLevel="0" collapsed="false">
      <c r="A78" s="13" t="s">
        <v>367</v>
      </c>
      <c r="B78" s="13" t="s">
        <v>178</v>
      </c>
      <c r="C78" s="13" t="s">
        <v>368</v>
      </c>
      <c r="D78" s="13" t="s">
        <v>369</v>
      </c>
      <c r="E78" s="13" t="s">
        <v>178</v>
      </c>
      <c r="F78" s="13" t="s">
        <v>226</v>
      </c>
      <c r="G78" s="13" t="s">
        <v>227</v>
      </c>
      <c r="H78" s="7"/>
      <c r="I78" s="7"/>
      <c r="J78" s="10"/>
      <c r="K78" s="12"/>
      <c r="L78" s="10"/>
      <c r="M78" s="10"/>
      <c r="N78" s="14" t="str">
        <f aca="false">IF(H78="Nein","n. a.",IF(I78="erfüllt","grün",IF(I78="nicht anwendbar","n. a.",IF(I78="in Arbeit","gelb","rot"))))</f>
        <v>rot</v>
      </c>
    </row>
    <row r="79" customFormat="false" ht="30" hidden="false" customHeight="true" outlineLevel="0" collapsed="false">
      <c r="A79" s="13" t="s">
        <v>370</v>
      </c>
      <c r="B79" s="13" t="s">
        <v>178</v>
      </c>
      <c r="C79" s="13" t="s">
        <v>371</v>
      </c>
      <c r="D79" s="13" t="s">
        <v>372</v>
      </c>
      <c r="E79" s="13" t="s">
        <v>178</v>
      </c>
      <c r="F79" s="13" t="s">
        <v>288</v>
      </c>
      <c r="G79" s="13" t="s">
        <v>55</v>
      </c>
      <c r="H79" s="7"/>
      <c r="I79" s="7"/>
      <c r="J79" s="10"/>
      <c r="K79" s="12"/>
      <c r="L79" s="10"/>
      <c r="M79" s="10"/>
      <c r="N79" s="14" t="str">
        <f aca="false">IF(H79="Nein","n. a.",IF(I79="erfüllt","grün",IF(I79="nicht anwendbar","n. a.",IF(I79="in Arbeit","gelb","rot"))))</f>
        <v>rot</v>
      </c>
    </row>
    <row r="80" customFormat="false" ht="30" hidden="false" customHeight="true" outlineLevel="0" collapsed="false">
      <c r="A80" s="13" t="s">
        <v>373</v>
      </c>
      <c r="B80" s="13" t="s">
        <v>178</v>
      </c>
      <c r="C80" s="13" t="s">
        <v>374</v>
      </c>
      <c r="D80" s="13" t="s">
        <v>375</v>
      </c>
      <c r="E80" s="13" t="s">
        <v>178</v>
      </c>
      <c r="F80" s="13" t="s">
        <v>376</v>
      </c>
      <c r="G80" s="13" t="s">
        <v>55</v>
      </c>
      <c r="H80" s="7"/>
      <c r="I80" s="7"/>
      <c r="J80" s="10"/>
      <c r="K80" s="12"/>
      <c r="L80" s="10"/>
      <c r="M80" s="10"/>
      <c r="N80" s="14" t="str">
        <f aca="false">IF(H80="Nein","n. a.",IF(I80="erfüllt","grün",IF(I80="nicht anwendbar","n. a.",IF(I80="in Arbeit","gelb","rot"))))</f>
        <v>rot</v>
      </c>
    </row>
    <row r="81" customFormat="false" ht="30" hidden="false" customHeight="true" outlineLevel="0" collapsed="false">
      <c r="A81" s="13" t="s">
        <v>377</v>
      </c>
      <c r="B81" s="13" t="s">
        <v>178</v>
      </c>
      <c r="C81" s="13" t="s">
        <v>378</v>
      </c>
      <c r="D81" s="13" t="s">
        <v>379</v>
      </c>
      <c r="E81" s="13" t="s">
        <v>178</v>
      </c>
      <c r="F81" s="13" t="s">
        <v>226</v>
      </c>
      <c r="G81" s="13" t="s">
        <v>227</v>
      </c>
      <c r="H81" s="7"/>
      <c r="I81" s="7"/>
      <c r="J81" s="10"/>
      <c r="K81" s="12"/>
      <c r="L81" s="10"/>
      <c r="M81" s="10"/>
      <c r="N81" s="14" t="str">
        <f aca="false">IF(H81="Nein","n. a.",IF(I81="erfüllt","grün",IF(I81="nicht anwendbar","n. a.",IF(I81="in Arbeit","gelb","rot"))))</f>
        <v>rot</v>
      </c>
    </row>
    <row r="82" customFormat="false" ht="30" hidden="false" customHeight="true" outlineLevel="0" collapsed="false">
      <c r="A82" s="13" t="s">
        <v>380</v>
      </c>
      <c r="B82" s="13" t="s">
        <v>178</v>
      </c>
      <c r="C82" s="13" t="s">
        <v>381</v>
      </c>
      <c r="D82" s="13" t="s">
        <v>382</v>
      </c>
      <c r="E82" s="13" t="s">
        <v>178</v>
      </c>
      <c r="F82" s="13" t="s">
        <v>226</v>
      </c>
      <c r="G82" s="13" t="s">
        <v>227</v>
      </c>
      <c r="H82" s="7"/>
      <c r="I82" s="7"/>
      <c r="J82" s="10"/>
      <c r="K82" s="12"/>
      <c r="L82" s="10"/>
      <c r="M82" s="10"/>
      <c r="N82" s="14" t="str">
        <f aca="false">IF(H82="Nein","n. a.",IF(I82="erfüllt","grün",IF(I82="nicht anwendbar","n. a.",IF(I82="in Arbeit","gelb","rot"))))</f>
        <v>rot</v>
      </c>
    </row>
    <row r="83" customFormat="false" ht="30" hidden="false" customHeight="true" outlineLevel="0" collapsed="false">
      <c r="A83" s="13" t="s">
        <v>383</v>
      </c>
      <c r="B83" s="13" t="s">
        <v>178</v>
      </c>
      <c r="C83" s="13" t="s">
        <v>384</v>
      </c>
      <c r="D83" s="13" t="s">
        <v>385</v>
      </c>
      <c r="E83" s="13" t="s">
        <v>178</v>
      </c>
      <c r="F83" s="13" t="s">
        <v>226</v>
      </c>
      <c r="G83" s="13" t="s">
        <v>227</v>
      </c>
      <c r="H83" s="7"/>
      <c r="I83" s="7"/>
      <c r="J83" s="10"/>
      <c r="K83" s="12"/>
      <c r="L83" s="10"/>
      <c r="M83" s="10"/>
      <c r="N83" s="14" t="str">
        <f aca="false">IF(H83="Nein","n. a.",IF(I83="erfüllt","grün",IF(I83="nicht anwendbar","n. a.",IF(I83="in Arbeit","gelb","rot"))))</f>
        <v>rot</v>
      </c>
    </row>
    <row r="84" customFormat="false" ht="30" hidden="false" customHeight="true" outlineLevel="0" collapsed="false">
      <c r="A84" s="13" t="s">
        <v>386</v>
      </c>
      <c r="B84" s="13" t="s">
        <v>178</v>
      </c>
      <c r="C84" s="13" t="s">
        <v>387</v>
      </c>
      <c r="D84" s="13" t="s">
        <v>388</v>
      </c>
      <c r="E84" s="13" t="s">
        <v>178</v>
      </c>
      <c r="F84" s="13" t="s">
        <v>226</v>
      </c>
      <c r="G84" s="13" t="s">
        <v>227</v>
      </c>
      <c r="H84" s="7"/>
      <c r="I84" s="7"/>
      <c r="J84" s="10"/>
      <c r="K84" s="12"/>
      <c r="L84" s="10"/>
      <c r="M84" s="10"/>
      <c r="N84" s="14" t="str">
        <f aca="false">IF(H84="Nein","n. a.",IF(I84="erfüllt","grün",IF(I84="nicht anwendbar","n. a.",IF(I84="in Arbeit","gelb","rot"))))</f>
        <v>rot</v>
      </c>
    </row>
    <row r="85" customFormat="false" ht="30" hidden="false" customHeight="true" outlineLevel="0" collapsed="false">
      <c r="A85" s="13" t="s">
        <v>389</v>
      </c>
      <c r="B85" s="13" t="s">
        <v>178</v>
      </c>
      <c r="C85" s="13" t="s">
        <v>390</v>
      </c>
      <c r="D85" s="13" t="s">
        <v>391</v>
      </c>
      <c r="E85" s="13" t="s">
        <v>178</v>
      </c>
      <c r="F85" s="13" t="s">
        <v>226</v>
      </c>
      <c r="G85" s="13" t="s">
        <v>227</v>
      </c>
      <c r="H85" s="7"/>
      <c r="I85" s="7"/>
      <c r="J85" s="10"/>
      <c r="K85" s="12"/>
      <c r="L85" s="10"/>
      <c r="M85" s="10"/>
      <c r="N85" s="14" t="str">
        <f aca="false">IF(H85="Nein","n. a.",IF(I85="erfüllt","grün",IF(I85="nicht anwendbar","n. a.",IF(I85="in Arbeit","gelb","rot"))))</f>
        <v>rot</v>
      </c>
    </row>
    <row r="86" customFormat="false" ht="30" hidden="false" customHeight="true" outlineLevel="0" collapsed="false">
      <c r="A86" s="13" t="s">
        <v>392</v>
      </c>
      <c r="B86" s="13" t="s">
        <v>393</v>
      </c>
      <c r="C86" s="13" t="s">
        <v>394</v>
      </c>
      <c r="D86" s="13" t="s">
        <v>395</v>
      </c>
      <c r="E86" s="13" t="s">
        <v>192</v>
      </c>
      <c r="F86" s="13" t="s">
        <v>226</v>
      </c>
      <c r="G86" s="13" t="s">
        <v>143</v>
      </c>
      <c r="H86" s="7"/>
      <c r="I86" s="7"/>
      <c r="J86" s="10"/>
      <c r="K86" s="12"/>
      <c r="L86" s="10"/>
      <c r="M86" s="10"/>
      <c r="N86" s="14" t="str">
        <f aca="false">IF(H86="Nein","n. a.",IF(I86="erfüllt","grün",IF(I86="nicht anwendbar","n. a.",IF(I86="in Arbeit","gelb","rot"))))</f>
        <v>rot</v>
      </c>
    </row>
    <row r="87" customFormat="false" ht="30" hidden="false" customHeight="true" outlineLevel="0" collapsed="false">
      <c r="A87" s="13" t="s">
        <v>396</v>
      </c>
      <c r="B87" s="13" t="s">
        <v>393</v>
      </c>
      <c r="C87" s="13" t="s">
        <v>397</v>
      </c>
      <c r="D87" s="13" t="s">
        <v>398</v>
      </c>
      <c r="E87" s="13" t="s">
        <v>192</v>
      </c>
      <c r="F87" s="13" t="s">
        <v>226</v>
      </c>
      <c r="G87" s="13" t="s">
        <v>143</v>
      </c>
      <c r="H87" s="7"/>
      <c r="I87" s="7"/>
      <c r="J87" s="10"/>
      <c r="K87" s="12"/>
      <c r="L87" s="10"/>
      <c r="M87" s="10"/>
      <c r="N87" s="14" t="str">
        <f aca="false">IF(H87="Nein","n. a.",IF(I87="erfüllt","grün",IF(I87="nicht anwendbar","n. a.",IF(I87="in Arbeit","gelb","rot"))))</f>
        <v>rot</v>
      </c>
    </row>
    <row r="88" customFormat="false" ht="30" hidden="false" customHeight="true" outlineLevel="0" collapsed="false">
      <c r="A88" s="13" t="s">
        <v>399</v>
      </c>
      <c r="B88" s="13" t="s">
        <v>393</v>
      </c>
      <c r="C88" s="13" t="s">
        <v>400</v>
      </c>
      <c r="D88" s="13" t="s">
        <v>401</v>
      </c>
      <c r="E88" s="13" t="s">
        <v>192</v>
      </c>
      <c r="F88" s="13" t="s">
        <v>137</v>
      </c>
      <c r="G88" s="13" t="s">
        <v>143</v>
      </c>
      <c r="H88" s="7"/>
      <c r="I88" s="7"/>
      <c r="J88" s="10"/>
      <c r="K88" s="12"/>
      <c r="L88" s="10"/>
      <c r="M88" s="10"/>
      <c r="N88" s="14" t="str">
        <f aca="false">IF(H88="Nein","n. a.",IF(I88="erfüllt","grün",IF(I88="nicht anwendbar","n. a.",IF(I88="in Arbeit","gelb","rot"))))</f>
        <v>rot</v>
      </c>
    </row>
    <row r="89" customFormat="false" ht="30" hidden="false" customHeight="true" outlineLevel="0" collapsed="false">
      <c r="A89" s="13" t="s">
        <v>402</v>
      </c>
      <c r="B89" s="13" t="s">
        <v>393</v>
      </c>
      <c r="C89" s="13" t="s">
        <v>403</v>
      </c>
      <c r="D89" s="13" t="s">
        <v>404</v>
      </c>
      <c r="E89" s="13" t="s">
        <v>178</v>
      </c>
      <c r="F89" s="13" t="s">
        <v>226</v>
      </c>
      <c r="G89" s="13" t="s">
        <v>143</v>
      </c>
      <c r="H89" s="7"/>
      <c r="I89" s="7"/>
      <c r="J89" s="10"/>
      <c r="K89" s="12"/>
      <c r="L89" s="10"/>
      <c r="M89" s="10"/>
      <c r="N89" s="14" t="str">
        <f aca="false">IF(H89="Nein","n. a.",IF(I89="erfüllt","grün",IF(I89="nicht anwendbar","n. a.",IF(I89="in Arbeit","gelb","rot"))))</f>
        <v>rot</v>
      </c>
    </row>
    <row r="90" customFormat="false" ht="30" hidden="false" customHeight="true" outlineLevel="0" collapsed="false">
      <c r="A90" s="13" t="s">
        <v>405</v>
      </c>
      <c r="B90" s="13" t="s">
        <v>393</v>
      </c>
      <c r="C90" s="13" t="s">
        <v>406</v>
      </c>
      <c r="D90" s="13" t="s">
        <v>211</v>
      </c>
      <c r="E90" s="13" t="s">
        <v>137</v>
      </c>
      <c r="F90" s="13" t="s">
        <v>137</v>
      </c>
      <c r="G90" s="13" t="s">
        <v>143</v>
      </c>
      <c r="H90" s="7"/>
      <c r="I90" s="7"/>
      <c r="J90" s="10"/>
      <c r="K90" s="12"/>
      <c r="L90" s="10"/>
      <c r="M90" s="10"/>
      <c r="N90" s="14" t="str">
        <f aca="false">IF(H90="Nein","n. a.",IF(I90="erfüllt","grün",IF(I90="nicht anwendbar","n. a.",IF(I90="in Arbeit","gelb","rot"))))</f>
        <v>rot</v>
      </c>
    </row>
    <row r="91" customFormat="false" ht="30" hidden="false" customHeight="true" outlineLevel="0" collapsed="false">
      <c r="A91" s="13" t="s">
        <v>407</v>
      </c>
      <c r="B91" s="13" t="s">
        <v>408</v>
      </c>
      <c r="C91" s="13" t="s">
        <v>409</v>
      </c>
      <c r="D91" s="13" t="s">
        <v>410</v>
      </c>
      <c r="E91" s="13" t="s">
        <v>178</v>
      </c>
      <c r="F91" s="13" t="s">
        <v>408</v>
      </c>
      <c r="G91" s="13" t="s">
        <v>411</v>
      </c>
      <c r="H91" s="7"/>
      <c r="I91" s="7"/>
      <c r="J91" s="10"/>
      <c r="K91" s="12"/>
      <c r="L91" s="10"/>
      <c r="M91" s="10"/>
      <c r="N91" s="14" t="str">
        <f aca="false">IF(H91="Nein","n. a.",IF(I91="erfüllt","grün",IF(I91="nicht anwendbar","n. a.",IF(I91="in Arbeit","gelb","rot"))))</f>
        <v>rot</v>
      </c>
    </row>
    <row r="92" customFormat="false" ht="30" hidden="false" customHeight="true" outlineLevel="0" collapsed="false">
      <c r="A92" s="13" t="s">
        <v>412</v>
      </c>
      <c r="B92" s="13" t="s">
        <v>408</v>
      </c>
      <c r="C92" s="13" t="s">
        <v>413</v>
      </c>
      <c r="D92" s="13" t="s">
        <v>414</v>
      </c>
      <c r="E92" s="13" t="s">
        <v>178</v>
      </c>
      <c r="F92" s="13" t="s">
        <v>408</v>
      </c>
      <c r="G92" s="13" t="s">
        <v>411</v>
      </c>
      <c r="H92" s="7"/>
      <c r="I92" s="7"/>
      <c r="J92" s="10"/>
      <c r="K92" s="12"/>
      <c r="L92" s="10"/>
      <c r="M92" s="10"/>
      <c r="N92" s="14" t="str">
        <f aca="false">IF(H92="Nein","n. a.",IF(I92="erfüllt","grün",IF(I92="nicht anwendbar","n. a.",IF(I92="in Arbeit","gelb","rot"))))</f>
        <v>rot</v>
      </c>
    </row>
    <row r="93" customFormat="false" ht="30" hidden="false" customHeight="true" outlineLevel="0" collapsed="false">
      <c r="A93" s="13" t="s">
        <v>415</v>
      </c>
      <c r="B93" s="13" t="s">
        <v>408</v>
      </c>
      <c r="C93" s="13" t="s">
        <v>416</v>
      </c>
      <c r="D93" s="13" t="s">
        <v>417</v>
      </c>
      <c r="E93" s="13" t="s">
        <v>178</v>
      </c>
      <c r="F93" s="13" t="s">
        <v>408</v>
      </c>
      <c r="G93" s="13" t="s">
        <v>411</v>
      </c>
      <c r="H93" s="7"/>
      <c r="I93" s="7"/>
      <c r="J93" s="10"/>
      <c r="K93" s="12"/>
      <c r="L93" s="10"/>
      <c r="M93" s="10"/>
      <c r="N93" s="14" t="str">
        <f aca="false">IF(H93="Nein","n. a.",IF(I93="erfüllt","grün",IF(I93="nicht anwendbar","n. a.",IF(I93="in Arbeit","gelb","rot"))))</f>
        <v>rot</v>
      </c>
    </row>
    <row r="94" customFormat="false" ht="30" hidden="false" customHeight="true" outlineLevel="0" collapsed="false">
      <c r="A94" s="13" t="s">
        <v>418</v>
      </c>
      <c r="B94" s="13" t="s">
        <v>408</v>
      </c>
      <c r="C94" s="13" t="s">
        <v>419</v>
      </c>
      <c r="D94" s="13" t="s">
        <v>420</v>
      </c>
      <c r="E94" s="13" t="s">
        <v>178</v>
      </c>
      <c r="F94" s="13" t="s">
        <v>408</v>
      </c>
      <c r="G94" s="13" t="s">
        <v>411</v>
      </c>
      <c r="H94" s="7"/>
      <c r="I94" s="7"/>
      <c r="J94" s="10"/>
      <c r="K94" s="12"/>
      <c r="L94" s="10"/>
      <c r="M94" s="10"/>
      <c r="N94" s="14" t="str">
        <f aca="false">IF(H94="Nein","n. a.",IF(I94="erfüllt","grün",IF(I94="nicht anwendbar","n. a.",IF(I94="in Arbeit","gelb","rot"))))</f>
        <v>rot</v>
      </c>
    </row>
    <row r="95" customFormat="false" ht="30" hidden="false" customHeight="true" outlineLevel="0" collapsed="false">
      <c r="A95" s="13" t="s">
        <v>421</v>
      </c>
      <c r="B95" s="13" t="s">
        <v>408</v>
      </c>
      <c r="C95" s="13" t="s">
        <v>422</v>
      </c>
      <c r="D95" s="13" t="s">
        <v>423</v>
      </c>
      <c r="E95" s="13" t="s">
        <v>178</v>
      </c>
      <c r="F95" s="13" t="s">
        <v>408</v>
      </c>
      <c r="G95" s="13" t="s">
        <v>411</v>
      </c>
      <c r="H95" s="7"/>
      <c r="I95" s="7"/>
      <c r="J95" s="10"/>
      <c r="K95" s="12"/>
      <c r="L95" s="10"/>
      <c r="M95" s="10"/>
      <c r="N95" s="14" t="str">
        <f aca="false">IF(H95="Nein","n. a.",IF(I95="erfüllt","grün",IF(I95="nicht anwendbar","n. a.",IF(I95="in Arbeit","gelb","rot"))))</f>
        <v>rot</v>
      </c>
    </row>
    <row r="97" customFormat="false" ht="15" hidden="false" customHeight="false" outlineLevel="0" collapsed="false">
      <c r="A97" s="15" t="s">
        <v>424</v>
      </c>
      <c r="B97" s="15"/>
      <c r="C97" s="15"/>
      <c r="D97" s="15"/>
      <c r="E97" s="15"/>
      <c r="F97" s="15"/>
      <c r="G97" s="15"/>
      <c r="H97" s="15"/>
      <c r="I97" s="15"/>
      <c r="J97" s="15"/>
      <c r="K97" s="15"/>
      <c r="L97" s="15"/>
      <c r="M97" s="15"/>
      <c r="N97" s="15"/>
    </row>
  </sheetData>
  <autoFilter ref="A5:N95"/>
  <mergeCells count="3">
    <mergeCell ref="A1:N1"/>
    <mergeCell ref="A2:N2"/>
    <mergeCell ref="A97:N97"/>
  </mergeCells>
  <conditionalFormatting sqref="N6:N95">
    <cfRule type="cellIs" priority="2" operator="equal" aboveAverage="0" equalAverage="0" bottom="0" percent="0" rank="0" text="" dxfId="5">
      <formula>"grün"</formula>
    </cfRule>
    <cfRule type="cellIs" priority="3" operator="equal" aboveAverage="0" equalAverage="0" bottom="0" percent="0" rank="0" text="" dxfId="3">
      <formula>"gelb"</formula>
    </cfRule>
    <cfRule type="cellIs" priority="4" operator="equal" aboveAverage="0" equalAverage="0" bottom="0" percent="0" rank="0" text="" dxfId="13">
      <formula>"rot"</formula>
    </cfRule>
    <cfRule type="cellIs" priority="5" operator="equal" aboveAverage="0" equalAverage="0" bottom="0" percent="0" rank="0" text="" dxfId="2">
      <formula>"n. a."</formula>
    </cfRule>
  </conditionalFormatting>
  <dataValidations count="2">
    <dataValidation allowBlank="true" error="Bitte einen Wert aus der Liste wählen. Freitext führt zu falschen Einstufungen." errorStyle="stop" errorTitle="Ungültige Eingabe" operator="between" showDropDown="false" showErrorMessage="true" showInputMessage="false" sqref="H6:H95" type="list">
      <formula1>'08_Register'!$J$5:$J$7</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I6:I95" type="list">
      <formula1>'08_Register'!$B$5:$B$8</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6"/>
    <col collapsed="false" customWidth="true" hidden="false" outlineLevel="0" max="4" min="4" style="0" width="42"/>
    <col collapsed="false" customWidth="true" hidden="false" outlineLevel="0" max="5" min="5" style="0" width="46"/>
    <col collapsed="false" customWidth="true" hidden="false" outlineLevel="0" max="6" min="6" style="0" width="20"/>
    <col collapsed="false" customWidth="true" hidden="false" outlineLevel="0" max="9" min="7" style="0" width="13"/>
    <col collapsed="false" customWidth="true" hidden="false" outlineLevel="0" max="10" min="10" style="0" width="22"/>
    <col collapsed="false" customWidth="true" hidden="false" outlineLevel="0" max="11" min="11" style="0" width="30"/>
  </cols>
  <sheetData>
    <row r="1" customFormat="false" ht="24" hidden="false" customHeight="true" outlineLevel="0" collapsed="false">
      <c r="A1" s="1" t="s">
        <v>425</v>
      </c>
      <c r="B1" s="1"/>
      <c r="C1" s="1"/>
      <c r="D1" s="1"/>
      <c r="E1" s="1"/>
      <c r="F1" s="1"/>
      <c r="G1" s="1"/>
      <c r="H1" s="1"/>
      <c r="I1" s="1"/>
      <c r="J1" s="1"/>
      <c r="K1" s="1"/>
    </row>
    <row r="2" customFormat="false" ht="15" hidden="false" customHeight="false" outlineLevel="0" collapsed="false">
      <c r="A2" s="2" t="s">
        <v>426</v>
      </c>
      <c r="B2" s="2"/>
      <c r="C2" s="2"/>
      <c r="D2" s="2"/>
      <c r="E2" s="2"/>
      <c r="F2" s="2"/>
      <c r="G2" s="2"/>
      <c r="H2" s="2"/>
      <c r="I2" s="2"/>
      <c r="J2" s="2"/>
      <c r="K2" s="2"/>
    </row>
    <row r="5" customFormat="false" ht="33.75" hidden="false" customHeight="true" outlineLevel="0" collapsed="false">
      <c r="A5" s="9" t="s">
        <v>119</v>
      </c>
      <c r="B5" s="9" t="s">
        <v>427</v>
      </c>
      <c r="C5" s="9" t="s">
        <v>428</v>
      </c>
      <c r="D5" s="9" t="s">
        <v>429</v>
      </c>
      <c r="E5" s="9" t="s">
        <v>430</v>
      </c>
      <c r="F5" s="9" t="s">
        <v>128</v>
      </c>
      <c r="G5" s="9" t="s">
        <v>129</v>
      </c>
      <c r="H5" s="9" t="s">
        <v>431</v>
      </c>
      <c r="I5" s="9" t="s">
        <v>432</v>
      </c>
      <c r="J5" s="9" t="s">
        <v>433</v>
      </c>
      <c r="K5" s="9" t="s">
        <v>84</v>
      </c>
    </row>
    <row r="6" customFormat="false" ht="25.5" hidden="false" customHeight="true" outlineLevel="0" collapsed="false">
      <c r="A6" s="10" t="n">
        <v>1</v>
      </c>
      <c r="B6" s="7"/>
      <c r="C6" s="7"/>
      <c r="D6" s="10"/>
      <c r="E6" s="10"/>
      <c r="F6" s="10"/>
      <c r="G6" s="12"/>
      <c r="H6" s="16"/>
      <c r="I6" s="7"/>
      <c r="J6" s="11" t="str">
        <f aca="true">IF(G6="","",IF(H6&gt;=1,"abgeschlossen",IF(G6&lt;TODAY(),"überfällig",IF(G6&lt;=TODAY()+30,"fällig in 30 Tagen","im Plan"))))</f>
        <v/>
      </c>
      <c r="K6" s="10"/>
    </row>
    <row r="7" customFormat="false" ht="25.5" hidden="false" customHeight="true" outlineLevel="0" collapsed="false">
      <c r="A7" s="10" t="n">
        <v>2</v>
      </c>
      <c r="B7" s="7"/>
      <c r="C7" s="7"/>
      <c r="D7" s="10"/>
      <c r="E7" s="10"/>
      <c r="F7" s="10"/>
      <c r="G7" s="12"/>
      <c r="H7" s="16"/>
      <c r="I7" s="7"/>
      <c r="J7" s="11" t="str">
        <f aca="true">IF(G7="","",IF(H7&gt;=1,"abgeschlossen",IF(G7&lt;TODAY(),"überfällig",IF(G7&lt;=TODAY()+30,"fällig in 30 Tagen","im Plan"))))</f>
        <v/>
      </c>
      <c r="K7" s="10"/>
    </row>
    <row r="8" customFormat="false" ht="25.5" hidden="false" customHeight="true" outlineLevel="0" collapsed="false">
      <c r="A8" s="10" t="n">
        <v>3</v>
      </c>
      <c r="B8" s="7"/>
      <c r="C8" s="7"/>
      <c r="D8" s="10"/>
      <c r="E8" s="10"/>
      <c r="F8" s="10"/>
      <c r="G8" s="12"/>
      <c r="H8" s="16"/>
      <c r="I8" s="7"/>
      <c r="J8" s="11" t="str">
        <f aca="true">IF(G8="","",IF(H8&gt;=1,"abgeschlossen",IF(G8&lt;TODAY(),"überfällig",IF(G8&lt;=TODAY()+30,"fällig in 30 Tagen","im Plan"))))</f>
        <v/>
      </c>
      <c r="K8" s="10"/>
    </row>
    <row r="9" customFormat="false" ht="25.5" hidden="false" customHeight="true" outlineLevel="0" collapsed="false">
      <c r="A9" s="10" t="n">
        <v>4</v>
      </c>
      <c r="B9" s="7"/>
      <c r="C9" s="7"/>
      <c r="D9" s="10"/>
      <c r="E9" s="10"/>
      <c r="F9" s="10"/>
      <c r="G9" s="12"/>
      <c r="H9" s="16"/>
      <c r="I9" s="7"/>
      <c r="J9" s="11" t="str">
        <f aca="true">IF(G9="","",IF(H9&gt;=1,"abgeschlossen",IF(G9&lt;TODAY(),"überfällig",IF(G9&lt;=TODAY()+30,"fällig in 30 Tagen","im Plan"))))</f>
        <v/>
      </c>
      <c r="K9" s="10"/>
    </row>
    <row r="10" customFormat="false" ht="25.5" hidden="false" customHeight="true" outlineLevel="0" collapsed="false">
      <c r="A10" s="10" t="n">
        <v>5</v>
      </c>
      <c r="B10" s="7"/>
      <c r="C10" s="7"/>
      <c r="D10" s="10"/>
      <c r="E10" s="10"/>
      <c r="F10" s="10"/>
      <c r="G10" s="12"/>
      <c r="H10" s="16"/>
      <c r="I10" s="7"/>
      <c r="J10" s="11" t="str">
        <f aca="true">IF(G10="","",IF(H10&gt;=1,"abgeschlossen",IF(G10&lt;TODAY(),"überfällig",IF(G10&lt;=TODAY()+30,"fällig in 30 Tagen","im Plan"))))</f>
        <v/>
      </c>
      <c r="K10" s="10"/>
    </row>
    <row r="11" customFormat="false" ht="25.5" hidden="false" customHeight="true" outlineLevel="0" collapsed="false">
      <c r="A11" s="10" t="n">
        <v>6</v>
      </c>
      <c r="B11" s="7"/>
      <c r="C11" s="7"/>
      <c r="D11" s="10"/>
      <c r="E11" s="10"/>
      <c r="F11" s="10"/>
      <c r="G11" s="12"/>
      <c r="H11" s="16"/>
      <c r="I11" s="7"/>
      <c r="J11" s="11" t="str">
        <f aca="true">IF(G11="","",IF(H11&gt;=1,"abgeschlossen",IF(G11&lt;TODAY(),"überfällig",IF(G11&lt;=TODAY()+30,"fällig in 30 Tagen","im Plan"))))</f>
        <v/>
      </c>
      <c r="K11" s="10"/>
    </row>
    <row r="12" customFormat="false" ht="25.5" hidden="false" customHeight="true" outlineLevel="0" collapsed="false">
      <c r="A12" s="10" t="n">
        <v>7</v>
      </c>
      <c r="B12" s="7"/>
      <c r="C12" s="7"/>
      <c r="D12" s="10"/>
      <c r="E12" s="10"/>
      <c r="F12" s="10"/>
      <c r="G12" s="12"/>
      <c r="H12" s="16"/>
      <c r="I12" s="7"/>
      <c r="J12" s="11" t="str">
        <f aca="true">IF(G12="","",IF(H12&gt;=1,"abgeschlossen",IF(G12&lt;TODAY(),"überfällig",IF(G12&lt;=TODAY()+30,"fällig in 30 Tagen","im Plan"))))</f>
        <v/>
      </c>
      <c r="K12" s="10"/>
    </row>
    <row r="13" customFormat="false" ht="25.5" hidden="false" customHeight="true" outlineLevel="0" collapsed="false">
      <c r="A13" s="10" t="n">
        <v>8</v>
      </c>
      <c r="B13" s="7"/>
      <c r="C13" s="7"/>
      <c r="D13" s="10"/>
      <c r="E13" s="10"/>
      <c r="F13" s="10"/>
      <c r="G13" s="12"/>
      <c r="H13" s="16"/>
      <c r="I13" s="7"/>
      <c r="J13" s="11" t="str">
        <f aca="true">IF(G13="","",IF(H13&gt;=1,"abgeschlossen",IF(G13&lt;TODAY(),"überfällig",IF(G13&lt;=TODAY()+30,"fällig in 30 Tagen","im Plan"))))</f>
        <v/>
      </c>
      <c r="K13" s="10"/>
    </row>
    <row r="14" customFormat="false" ht="25.5" hidden="false" customHeight="true" outlineLevel="0" collapsed="false">
      <c r="A14" s="10" t="n">
        <v>9</v>
      </c>
      <c r="B14" s="7"/>
      <c r="C14" s="7"/>
      <c r="D14" s="10"/>
      <c r="E14" s="10"/>
      <c r="F14" s="10"/>
      <c r="G14" s="12"/>
      <c r="H14" s="16"/>
      <c r="I14" s="7"/>
      <c r="J14" s="11" t="str">
        <f aca="true">IF(G14="","",IF(H14&gt;=1,"abgeschlossen",IF(G14&lt;TODAY(),"überfällig",IF(G14&lt;=TODAY()+30,"fällig in 30 Tagen","im Plan"))))</f>
        <v/>
      </c>
      <c r="K14" s="10"/>
    </row>
    <row r="15" customFormat="false" ht="25.5" hidden="false" customHeight="true" outlineLevel="0" collapsed="false">
      <c r="A15" s="10" t="n">
        <v>10</v>
      </c>
      <c r="B15" s="7"/>
      <c r="C15" s="7"/>
      <c r="D15" s="10"/>
      <c r="E15" s="10"/>
      <c r="F15" s="10"/>
      <c r="G15" s="12"/>
      <c r="H15" s="16"/>
      <c r="I15" s="7"/>
      <c r="J15" s="11" t="str">
        <f aca="true">IF(G15="","",IF(H15&gt;=1,"abgeschlossen",IF(G15&lt;TODAY(),"überfällig",IF(G15&lt;=TODAY()+30,"fällig in 30 Tagen","im Plan"))))</f>
        <v/>
      </c>
      <c r="K15" s="10"/>
    </row>
    <row r="16" customFormat="false" ht="25.5" hidden="false" customHeight="true" outlineLevel="0" collapsed="false">
      <c r="A16" s="10" t="n">
        <v>11</v>
      </c>
      <c r="B16" s="7"/>
      <c r="C16" s="7"/>
      <c r="D16" s="10"/>
      <c r="E16" s="10"/>
      <c r="F16" s="10"/>
      <c r="G16" s="12"/>
      <c r="H16" s="16"/>
      <c r="I16" s="7"/>
      <c r="J16" s="11" t="str">
        <f aca="true">IF(G16="","",IF(H16&gt;=1,"abgeschlossen",IF(G16&lt;TODAY(),"überfällig",IF(G16&lt;=TODAY()+30,"fällig in 30 Tagen","im Plan"))))</f>
        <v/>
      </c>
      <c r="K16" s="10"/>
    </row>
    <row r="17" customFormat="false" ht="25.5" hidden="false" customHeight="true" outlineLevel="0" collapsed="false">
      <c r="A17" s="10" t="n">
        <v>12</v>
      </c>
      <c r="B17" s="7"/>
      <c r="C17" s="7"/>
      <c r="D17" s="10"/>
      <c r="E17" s="10"/>
      <c r="F17" s="10"/>
      <c r="G17" s="12"/>
      <c r="H17" s="16"/>
      <c r="I17" s="7"/>
      <c r="J17" s="11" t="str">
        <f aca="true">IF(G17="","",IF(H17&gt;=1,"abgeschlossen",IF(G17&lt;TODAY(),"überfällig",IF(G17&lt;=TODAY()+30,"fällig in 30 Tagen","im Plan"))))</f>
        <v/>
      </c>
      <c r="K17" s="10"/>
    </row>
    <row r="18" customFormat="false" ht="25.5" hidden="false" customHeight="true" outlineLevel="0" collapsed="false">
      <c r="A18" s="10" t="n">
        <v>13</v>
      </c>
      <c r="B18" s="7"/>
      <c r="C18" s="7"/>
      <c r="D18" s="10"/>
      <c r="E18" s="10"/>
      <c r="F18" s="10"/>
      <c r="G18" s="12"/>
      <c r="H18" s="16"/>
      <c r="I18" s="7"/>
      <c r="J18" s="11" t="str">
        <f aca="true">IF(G18="","",IF(H18&gt;=1,"abgeschlossen",IF(G18&lt;TODAY(),"überfällig",IF(G18&lt;=TODAY()+30,"fällig in 30 Tagen","im Plan"))))</f>
        <v/>
      </c>
      <c r="K18" s="10"/>
    </row>
    <row r="19" customFormat="false" ht="25.5" hidden="false" customHeight="true" outlineLevel="0" collapsed="false">
      <c r="A19" s="10" t="n">
        <v>14</v>
      </c>
      <c r="B19" s="7"/>
      <c r="C19" s="7"/>
      <c r="D19" s="10"/>
      <c r="E19" s="10"/>
      <c r="F19" s="10"/>
      <c r="G19" s="12"/>
      <c r="H19" s="16"/>
      <c r="I19" s="7"/>
      <c r="J19" s="11" t="str">
        <f aca="true">IF(G19="","",IF(H19&gt;=1,"abgeschlossen",IF(G19&lt;TODAY(),"überfällig",IF(G19&lt;=TODAY()+30,"fällig in 30 Tagen","im Plan"))))</f>
        <v/>
      </c>
      <c r="K19" s="10"/>
    </row>
    <row r="20" customFormat="false" ht="25.5" hidden="false" customHeight="true" outlineLevel="0" collapsed="false">
      <c r="A20" s="10" t="n">
        <v>15</v>
      </c>
      <c r="B20" s="7"/>
      <c r="C20" s="7"/>
      <c r="D20" s="10"/>
      <c r="E20" s="10"/>
      <c r="F20" s="10"/>
      <c r="G20" s="12"/>
      <c r="H20" s="16"/>
      <c r="I20" s="7"/>
      <c r="J20" s="11" t="str">
        <f aca="true">IF(G20="","",IF(H20&gt;=1,"abgeschlossen",IF(G20&lt;TODAY(),"überfällig",IF(G20&lt;=TODAY()+30,"fällig in 30 Tagen","im Plan"))))</f>
        <v/>
      </c>
      <c r="K20" s="10"/>
    </row>
    <row r="21" customFormat="false" ht="25.5" hidden="false" customHeight="true" outlineLevel="0" collapsed="false">
      <c r="A21" s="10" t="n">
        <v>16</v>
      </c>
      <c r="B21" s="7"/>
      <c r="C21" s="7"/>
      <c r="D21" s="10"/>
      <c r="E21" s="10"/>
      <c r="F21" s="10"/>
      <c r="G21" s="12"/>
      <c r="H21" s="16"/>
      <c r="I21" s="7"/>
      <c r="J21" s="11" t="str">
        <f aca="true">IF(G21="","",IF(H21&gt;=1,"abgeschlossen",IF(G21&lt;TODAY(),"überfällig",IF(G21&lt;=TODAY()+30,"fällig in 30 Tagen","im Plan"))))</f>
        <v/>
      </c>
      <c r="K21" s="10"/>
    </row>
    <row r="22" customFormat="false" ht="25.5" hidden="false" customHeight="true" outlineLevel="0" collapsed="false">
      <c r="A22" s="10" t="n">
        <v>17</v>
      </c>
      <c r="B22" s="7"/>
      <c r="C22" s="7"/>
      <c r="D22" s="10"/>
      <c r="E22" s="10"/>
      <c r="F22" s="10"/>
      <c r="G22" s="12"/>
      <c r="H22" s="16"/>
      <c r="I22" s="7"/>
      <c r="J22" s="11" t="str">
        <f aca="true">IF(G22="","",IF(H22&gt;=1,"abgeschlossen",IF(G22&lt;TODAY(),"überfällig",IF(G22&lt;=TODAY()+30,"fällig in 30 Tagen","im Plan"))))</f>
        <v/>
      </c>
      <c r="K22" s="10"/>
    </row>
    <row r="23" customFormat="false" ht="25.5" hidden="false" customHeight="true" outlineLevel="0" collapsed="false">
      <c r="A23" s="10" t="n">
        <v>18</v>
      </c>
      <c r="B23" s="7"/>
      <c r="C23" s="7"/>
      <c r="D23" s="10"/>
      <c r="E23" s="10"/>
      <c r="F23" s="10"/>
      <c r="G23" s="12"/>
      <c r="H23" s="16"/>
      <c r="I23" s="7"/>
      <c r="J23" s="11" t="str">
        <f aca="true">IF(G23="","",IF(H23&gt;=1,"abgeschlossen",IF(G23&lt;TODAY(),"überfällig",IF(G23&lt;=TODAY()+30,"fällig in 30 Tagen","im Plan"))))</f>
        <v/>
      </c>
      <c r="K23" s="10"/>
    </row>
    <row r="24" customFormat="false" ht="25.5" hidden="false" customHeight="true" outlineLevel="0" collapsed="false">
      <c r="A24" s="10" t="n">
        <v>19</v>
      </c>
      <c r="B24" s="7"/>
      <c r="C24" s="7"/>
      <c r="D24" s="10"/>
      <c r="E24" s="10"/>
      <c r="F24" s="10"/>
      <c r="G24" s="12"/>
      <c r="H24" s="16"/>
      <c r="I24" s="7"/>
      <c r="J24" s="11" t="str">
        <f aca="true">IF(G24="","",IF(H24&gt;=1,"abgeschlossen",IF(G24&lt;TODAY(),"überfällig",IF(G24&lt;=TODAY()+30,"fällig in 30 Tagen","im Plan"))))</f>
        <v/>
      </c>
      <c r="K24" s="10"/>
    </row>
    <row r="25" customFormat="false" ht="25.5" hidden="false" customHeight="true" outlineLevel="0" collapsed="false">
      <c r="A25" s="10" t="n">
        <v>20</v>
      </c>
      <c r="B25" s="7"/>
      <c r="C25" s="7"/>
      <c r="D25" s="10"/>
      <c r="E25" s="10"/>
      <c r="F25" s="10"/>
      <c r="G25" s="12"/>
      <c r="H25" s="16"/>
      <c r="I25" s="7"/>
      <c r="J25" s="11" t="str">
        <f aca="true">IF(G25="","",IF(H25&gt;=1,"abgeschlossen",IF(G25&lt;TODAY(),"überfällig",IF(G25&lt;=TODAY()+30,"fällig in 30 Tagen","im Plan"))))</f>
        <v/>
      </c>
      <c r="K25" s="10"/>
    </row>
    <row r="26" customFormat="false" ht="25.5" hidden="false" customHeight="true" outlineLevel="0" collapsed="false">
      <c r="A26" s="10" t="n">
        <v>21</v>
      </c>
      <c r="B26" s="7"/>
      <c r="C26" s="7"/>
      <c r="D26" s="10"/>
      <c r="E26" s="10"/>
      <c r="F26" s="10"/>
      <c r="G26" s="12"/>
      <c r="H26" s="16"/>
      <c r="I26" s="7"/>
      <c r="J26" s="11" t="str">
        <f aca="true">IF(G26="","",IF(H26&gt;=1,"abgeschlossen",IF(G26&lt;TODAY(),"überfällig",IF(G26&lt;=TODAY()+30,"fällig in 30 Tagen","im Plan"))))</f>
        <v/>
      </c>
      <c r="K26" s="10"/>
    </row>
    <row r="27" customFormat="false" ht="25.5" hidden="false" customHeight="true" outlineLevel="0" collapsed="false">
      <c r="A27" s="10" t="n">
        <v>22</v>
      </c>
      <c r="B27" s="7"/>
      <c r="C27" s="7"/>
      <c r="D27" s="10"/>
      <c r="E27" s="10"/>
      <c r="F27" s="10"/>
      <c r="G27" s="12"/>
      <c r="H27" s="16"/>
      <c r="I27" s="7"/>
      <c r="J27" s="11" t="str">
        <f aca="true">IF(G27="","",IF(H27&gt;=1,"abgeschlossen",IF(G27&lt;TODAY(),"überfällig",IF(G27&lt;=TODAY()+30,"fällig in 30 Tagen","im Plan"))))</f>
        <v/>
      </c>
      <c r="K27" s="10"/>
    </row>
    <row r="28" customFormat="false" ht="25.5" hidden="false" customHeight="true" outlineLevel="0" collapsed="false">
      <c r="A28" s="10" t="n">
        <v>23</v>
      </c>
      <c r="B28" s="7"/>
      <c r="C28" s="7"/>
      <c r="D28" s="10"/>
      <c r="E28" s="10"/>
      <c r="F28" s="10"/>
      <c r="G28" s="12"/>
      <c r="H28" s="16"/>
      <c r="I28" s="7"/>
      <c r="J28" s="11" t="str">
        <f aca="true">IF(G28="","",IF(H28&gt;=1,"abgeschlossen",IF(G28&lt;TODAY(),"überfällig",IF(G28&lt;=TODAY()+30,"fällig in 30 Tagen","im Plan"))))</f>
        <v/>
      </c>
      <c r="K28" s="10"/>
    </row>
    <row r="29" customFormat="false" ht="25.5" hidden="false" customHeight="true" outlineLevel="0" collapsed="false">
      <c r="A29" s="10" t="n">
        <v>24</v>
      </c>
      <c r="B29" s="7"/>
      <c r="C29" s="7"/>
      <c r="D29" s="10"/>
      <c r="E29" s="10"/>
      <c r="F29" s="10"/>
      <c r="G29" s="12"/>
      <c r="H29" s="16"/>
      <c r="I29" s="7"/>
      <c r="J29" s="11" t="str">
        <f aca="true">IF(G29="","",IF(H29&gt;=1,"abgeschlossen",IF(G29&lt;TODAY(),"überfällig",IF(G29&lt;=TODAY()+30,"fällig in 30 Tagen","im Plan"))))</f>
        <v/>
      </c>
      <c r="K29" s="10"/>
    </row>
    <row r="30" customFormat="false" ht="25.5" hidden="false" customHeight="true" outlineLevel="0" collapsed="false">
      <c r="A30" s="10" t="n">
        <v>25</v>
      </c>
      <c r="B30" s="7"/>
      <c r="C30" s="7"/>
      <c r="D30" s="10"/>
      <c r="E30" s="10"/>
      <c r="F30" s="10"/>
      <c r="G30" s="12"/>
      <c r="H30" s="16"/>
      <c r="I30" s="7"/>
      <c r="J30" s="11" t="str">
        <f aca="true">IF(G30="","",IF(H30&gt;=1,"abgeschlossen",IF(G30&lt;TODAY(),"überfällig",IF(G30&lt;=TODAY()+30,"fällig in 30 Tagen","im Plan"))))</f>
        <v/>
      </c>
      <c r="K30" s="10"/>
    </row>
    <row r="31" customFormat="false" ht="25.5" hidden="false" customHeight="true" outlineLevel="0" collapsed="false">
      <c r="A31" s="10" t="n">
        <v>26</v>
      </c>
      <c r="B31" s="7"/>
      <c r="C31" s="7"/>
      <c r="D31" s="10"/>
      <c r="E31" s="10"/>
      <c r="F31" s="10"/>
      <c r="G31" s="12"/>
      <c r="H31" s="16"/>
      <c r="I31" s="7"/>
      <c r="J31" s="11" t="str">
        <f aca="true">IF(G31="","",IF(H31&gt;=1,"abgeschlossen",IF(G31&lt;TODAY(),"überfällig",IF(G31&lt;=TODAY()+30,"fällig in 30 Tagen","im Plan"))))</f>
        <v/>
      </c>
      <c r="K31" s="10"/>
    </row>
    <row r="32" customFormat="false" ht="25.5" hidden="false" customHeight="true" outlineLevel="0" collapsed="false">
      <c r="A32" s="10" t="n">
        <v>27</v>
      </c>
      <c r="B32" s="7"/>
      <c r="C32" s="7"/>
      <c r="D32" s="10"/>
      <c r="E32" s="10"/>
      <c r="F32" s="10"/>
      <c r="G32" s="12"/>
      <c r="H32" s="16"/>
      <c r="I32" s="7"/>
      <c r="J32" s="11" t="str">
        <f aca="true">IF(G32="","",IF(H32&gt;=1,"abgeschlossen",IF(G32&lt;TODAY(),"überfällig",IF(G32&lt;=TODAY()+30,"fällig in 30 Tagen","im Plan"))))</f>
        <v/>
      </c>
      <c r="K32" s="10"/>
    </row>
    <row r="33" customFormat="false" ht="25.5" hidden="false" customHeight="true" outlineLevel="0" collapsed="false">
      <c r="A33" s="10" t="n">
        <v>28</v>
      </c>
      <c r="B33" s="7"/>
      <c r="C33" s="7"/>
      <c r="D33" s="10"/>
      <c r="E33" s="10"/>
      <c r="F33" s="10"/>
      <c r="G33" s="12"/>
      <c r="H33" s="16"/>
      <c r="I33" s="7"/>
      <c r="J33" s="11" t="str">
        <f aca="true">IF(G33="","",IF(H33&gt;=1,"abgeschlossen",IF(G33&lt;TODAY(),"überfällig",IF(G33&lt;=TODAY()+30,"fällig in 30 Tagen","im Plan"))))</f>
        <v/>
      </c>
      <c r="K33" s="10"/>
    </row>
    <row r="34" customFormat="false" ht="25.5" hidden="false" customHeight="true" outlineLevel="0" collapsed="false">
      <c r="A34" s="10" t="n">
        <v>29</v>
      </c>
      <c r="B34" s="7"/>
      <c r="C34" s="7"/>
      <c r="D34" s="10"/>
      <c r="E34" s="10"/>
      <c r="F34" s="10"/>
      <c r="G34" s="12"/>
      <c r="H34" s="16"/>
      <c r="I34" s="7"/>
      <c r="J34" s="11" t="str">
        <f aca="true">IF(G34="","",IF(H34&gt;=1,"abgeschlossen",IF(G34&lt;TODAY(),"überfällig",IF(G34&lt;=TODAY()+30,"fällig in 30 Tagen","im Plan"))))</f>
        <v/>
      </c>
      <c r="K34" s="10"/>
    </row>
    <row r="35" customFormat="false" ht="25.5" hidden="false" customHeight="true" outlineLevel="0" collapsed="false">
      <c r="A35" s="10" t="n">
        <v>30</v>
      </c>
      <c r="B35" s="7"/>
      <c r="C35" s="7"/>
      <c r="D35" s="10"/>
      <c r="E35" s="10"/>
      <c r="F35" s="10"/>
      <c r="G35" s="12"/>
      <c r="H35" s="16"/>
      <c r="I35" s="7"/>
      <c r="J35" s="11" t="str">
        <f aca="true">IF(G35="","",IF(H35&gt;=1,"abgeschlossen",IF(G35&lt;TODAY(),"überfällig",IF(G35&lt;=TODAY()+30,"fällig in 30 Tagen","im Plan"))))</f>
        <v/>
      </c>
      <c r="K35" s="10"/>
    </row>
    <row r="36" customFormat="false" ht="25.5" hidden="false" customHeight="true" outlineLevel="0" collapsed="false">
      <c r="A36" s="10" t="n">
        <v>31</v>
      </c>
      <c r="B36" s="7"/>
      <c r="C36" s="7"/>
      <c r="D36" s="10"/>
      <c r="E36" s="10"/>
      <c r="F36" s="10"/>
      <c r="G36" s="12"/>
      <c r="H36" s="16"/>
      <c r="I36" s="7"/>
      <c r="J36" s="11" t="str">
        <f aca="true">IF(G36="","",IF(H36&gt;=1,"abgeschlossen",IF(G36&lt;TODAY(),"überfällig",IF(G36&lt;=TODAY()+30,"fällig in 30 Tagen","im Plan"))))</f>
        <v/>
      </c>
      <c r="K36" s="10"/>
    </row>
    <row r="37" customFormat="false" ht="25.5" hidden="false" customHeight="true" outlineLevel="0" collapsed="false">
      <c r="A37" s="10" t="n">
        <v>32</v>
      </c>
      <c r="B37" s="7"/>
      <c r="C37" s="7"/>
      <c r="D37" s="10"/>
      <c r="E37" s="10"/>
      <c r="F37" s="10"/>
      <c r="G37" s="12"/>
      <c r="H37" s="16"/>
      <c r="I37" s="7"/>
      <c r="J37" s="11" t="str">
        <f aca="true">IF(G37="","",IF(H37&gt;=1,"abgeschlossen",IF(G37&lt;TODAY(),"überfällig",IF(G37&lt;=TODAY()+30,"fällig in 30 Tagen","im Plan"))))</f>
        <v/>
      </c>
      <c r="K37" s="10"/>
    </row>
    <row r="38" customFormat="false" ht="25.5" hidden="false" customHeight="true" outlineLevel="0" collapsed="false">
      <c r="A38" s="10" t="n">
        <v>33</v>
      </c>
      <c r="B38" s="7"/>
      <c r="C38" s="7"/>
      <c r="D38" s="10"/>
      <c r="E38" s="10"/>
      <c r="F38" s="10"/>
      <c r="G38" s="12"/>
      <c r="H38" s="16"/>
      <c r="I38" s="7"/>
      <c r="J38" s="11" t="str">
        <f aca="true">IF(G38="","",IF(H38&gt;=1,"abgeschlossen",IF(G38&lt;TODAY(),"überfällig",IF(G38&lt;=TODAY()+30,"fällig in 30 Tagen","im Plan"))))</f>
        <v/>
      </c>
      <c r="K38" s="10"/>
    </row>
    <row r="39" customFormat="false" ht="25.5" hidden="false" customHeight="true" outlineLevel="0" collapsed="false">
      <c r="A39" s="10" t="n">
        <v>34</v>
      </c>
      <c r="B39" s="7"/>
      <c r="C39" s="7"/>
      <c r="D39" s="10"/>
      <c r="E39" s="10"/>
      <c r="F39" s="10"/>
      <c r="G39" s="12"/>
      <c r="H39" s="16"/>
      <c r="I39" s="7"/>
      <c r="J39" s="11" t="str">
        <f aca="true">IF(G39="","",IF(H39&gt;=1,"abgeschlossen",IF(G39&lt;TODAY(),"überfällig",IF(G39&lt;=TODAY()+30,"fällig in 30 Tagen","im Plan"))))</f>
        <v/>
      </c>
      <c r="K39" s="10"/>
    </row>
    <row r="40" customFormat="false" ht="25.5" hidden="false" customHeight="true" outlineLevel="0" collapsed="false">
      <c r="A40" s="10" t="n">
        <v>35</v>
      </c>
      <c r="B40" s="7"/>
      <c r="C40" s="7"/>
      <c r="D40" s="10"/>
      <c r="E40" s="10"/>
      <c r="F40" s="10"/>
      <c r="G40" s="12"/>
      <c r="H40" s="16"/>
      <c r="I40" s="7"/>
      <c r="J40" s="11" t="str">
        <f aca="true">IF(G40="","",IF(H40&gt;=1,"abgeschlossen",IF(G40&lt;TODAY(),"überfällig",IF(G40&lt;=TODAY()+30,"fällig in 30 Tagen","im Plan"))))</f>
        <v/>
      </c>
      <c r="K40" s="10"/>
    </row>
    <row r="41" customFormat="false" ht="25.5" hidden="false" customHeight="true" outlineLevel="0" collapsed="false">
      <c r="A41" s="10" t="n">
        <v>36</v>
      </c>
      <c r="B41" s="7"/>
      <c r="C41" s="7"/>
      <c r="D41" s="10"/>
      <c r="E41" s="10"/>
      <c r="F41" s="10"/>
      <c r="G41" s="12"/>
      <c r="H41" s="16"/>
      <c r="I41" s="7"/>
      <c r="J41" s="11" t="str">
        <f aca="true">IF(G41="","",IF(H41&gt;=1,"abgeschlossen",IF(G41&lt;TODAY(),"überfällig",IF(G41&lt;=TODAY()+30,"fällig in 30 Tagen","im Plan"))))</f>
        <v/>
      </c>
      <c r="K41" s="10"/>
    </row>
    <row r="42" customFormat="false" ht="25.5" hidden="false" customHeight="true" outlineLevel="0" collapsed="false">
      <c r="A42" s="10" t="n">
        <v>37</v>
      </c>
      <c r="B42" s="7"/>
      <c r="C42" s="7"/>
      <c r="D42" s="10"/>
      <c r="E42" s="10"/>
      <c r="F42" s="10"/>
      <c r="G42" s="12"/>
      <c r="H42" s="16"/>
      <c r="I42" s="7"/>
      <c r="J42" s="11" t="str">
        <f aca="true">IF(G42="","",IF(H42&gt;=1,"abgeschlossen",IF(G42&lt;TODAY(),"überfällig",IF(G42&lt;=TODAY()+30,"fällig in 30 Tagen","im Plan"))))</f>
        <v/>
      </c>
      <c r="K42" s="10"/>
    </row>
    <row r="43" customFormat="false" ht="25.5" hidden="false" customHeight="true" outlineLevel="0" collapsed="false">
      <c r="A43" s="10" t="n">
        <v>38</v>
      </c>
      <c r="B43" s="7"/>
      <c r="C43" s="7"/>
      <c r="D43" s="10"/>
      <c r="E43" s="10"/>
      <c r="F43" s="10"/>
      <c r="G43" s="12"/>
      <c r="H43" s="16"/>
      <c r="I43" s="7"/>
      <c r="J43" s="11" t="str">
        <f aca="true">IF(G43="","",IF(H43&gt;=1,"abgeschlossen",IF(G43&lt;TODAY(),"überfällig",IF(G43&lt;=TODAY()+30,"fällig in 30 Tagen","im Plan"))))</f>
        <v/>
      </c>
      <c r="K43" s="10"/>
    </row>
    <row r="44" customFormat="false" ht="25.5" hidden="false" customHeight="true" outlineLevel="0" collapsed="false">
      <c r="A44" s="10" t="n">
        <v>39</v>
      </c>
      <c r="B44" s="7"/>
      <c r="C44" s="7"/>
      <c r="D44" s="10"/>
      <c r="E44" s="10"/>
      <c r="F44" s="10"/>
      <c r="G44" s="12"/>
      <c r="H44" s="16"/>
      <c r="I44" s="7"/>
      <c r="J44" s="11" t="str">
        <f aca="true">IF(G44="","",IF(H44&gt;=1,"abgeschlossen",IF(G44&lt;TODAY(),"überfällig",IF(G44&lt;=TODAY()+30,"fällig in 30 Tagen","im Plan"))))</f>
        <v/>
      </c>
      <c r="K44" s="10"/>
    </row>
    <row r="45" customFormat="false" ht="25.5" hidden="false" customHeight="true" outlineLevel="0" collapsed="false">
      <c r="A45" s="10" t="n">
        <v>40</v>
      </c>
      <c r="B45" s="7"/>
      <c r="C45" s="7"/>
      <c r="D45" s="10"/>
      <c r="E45" s="10"/>
      <c r="F45" s="10"/>
      <c r="G45" s="12"/>
      <c r="H45" s="16"/>
      <c r="I45" s="7"/>
      <c r="J45" s="11" t="str">
        <f aca="true">IF(G45="","",IF(H45&gt;=1,"abgeschlossen",IF(G45&lt;TODAY(),"überfällig",IF(G45&lt;=TODAY()+30,"fällig in 30 Tagen","im Plan"))))</f>
        <v/>
      </c>
      <c r="K45" s="10"/>
    </row>
    <row r="46" customFormat="false" ht="25.5" hidden="false" customHeight="true" outlineLevel="0" collapsed="false">
      <c r="A46" s="10" t="n">
        <v>41</v>
      </c>
      <c r="B46" s="7"/>
      <c r="C46" s="7"/>
      <c r="D46" s="10"/>
      <c r="E46" s="10"/>
      <c r="F46" s="10"/>
      <c r="G46" s="12"/>
      <c r="H46" s="16"/>
      <c r="I46" s="7"/>
      <c r="J46" s="11" t="str">
        <f aca="true">IF(G46="","",IF(H46&gt;=1,"abgeschlossen",IF(G46&lt;TODAY(),"überfällig",IF(G46&lt;=TODAY()+30,"fällig in 30 Tagen","im Plan"))))</f>
        <v/>
      </c>
      <c r="K46" s="10"/>
    </row>
    <row r="47" customFormat="false" ht="25.5" hidden="false" customHeight="true" outlineLevel="0" collapsed="false">
      <c r="A47" s="10" t="n">
        <v>42</v>
      </c>
      <c r="B47" s="7"/>
      <c r="C47" s="7"/>
      <c r="D47" s="10"/>
      <c r="E47" s="10"/>
      <c r="F47" s="10"/>
      <c r="G47" s="12"/>
      <c r="H47" s="16"/>
      <c r="I47" s="7"/>
      <c r="J47" s="11" t="str">
        <f aca="true">IF(G47="","",IF(H47&gt;=1,"abgeschlossen",IF(G47&lt;TODAY(),"überfällig",IF(G47&lt;=TODAY()+30,"fällig in 30 Tagen","im Plan"))))</f>
        <v/>
      </c>
      <c r="K47" s="10"/>
    </row>
    <row r="48" customFormat="false" ht="25.5" hidden="false" customHeight="true" outlineLevel="0" collapsed="false">
      <c r="A48" s="10" t="n">
        <v>43</v>
      </c>
      <c r="B48" s="7"/>
      <c r="C48" s="7"/>
      <c r="D48" s="10"/>
      <c r="E48" s="10"/>
      <c r="F48" s="10"/>
      <c r="G48" s="12"/>
      <c r="H48" s="16"/>
      <c r="I48" s="7"/>
      <c r="J48" s="11" t="str">
        <f aca="true">IF(G48="","",IF(H48&gt;=1,"abgeschlossen",IF(G48&lt;TODAY(),"überfällig",IF(G48&lt;=TODAY()+30,"fällig in 30 Tagen","im Plan"))))</f>
        <v/>
      </c>
      <c r="K48" s="10"/>
    </row>
    <row r="49" customFormat="false" ht="25.5" hidden="false" customHeight="true" outlineLevel="0" collapsed="false">
      <c r="A49" s="10" t="n">
        <v>44</v>
      </c>
      <c r="B49" s="7"/>
      <c r="C49" s="7"/>
      <c r="D49" s="10"/>
      <c r="E49" s="10"/>
      <c r="F49" s="10"/>
      <c r="G49" s="12"/>
      <c r="H49" s="16"/>
      <c r="I49" s="7"/>
      <c r="J49" s="11" t="str">
        <f aca="true">IF(G49="","",IF(H49&gt;=1,"abgeschlossen",IF(G49&lt;TODAY(),"überfällig",IF(G49&lt;=TODAY()+30,"fällig in 30 Tagen","im Plan"))))</f>
        <v/>
      </c>
      <c r="K49" s="10"/>
    </row>
    <row r="50" customFormat="false" ht="25.5" hidden="false" customHeight="true" outlineLevel="0" collapsed="false">
      <c r="A50" s="10" t="n">
        <v>45</v>
      </c>
      <c r="B50" s="7"/>
      <c r="C50" s="7"/>
      <c r="D50" s="10"/>
      <c r="E50" s="10"/>
      <c r="F50" s="10"/>
      <c r="G50" s="12"/>
      <c r="H50" s="16"/>
      <c r="I50" s="7"/>
      <c r="J50" s="11" t="str">
        <f aca="true">IF(G50="","",IF(H50&gt;=1,"abgeschlossen",IF(G50&lt;TODAY(),"überfällig",IF(G50&lt;=TODAY()+30,"fällig in 30 Tagen","im Plan"))))</f>
        <v/>
      </c>
      <c r="K50" s="10"/>
    </row>
    <row r="51" customFormat="false" ht="25.5" hidden="false" customHeight="true" outlineLevel="0" collapsed="false">
      <c r="A51" s="10" t="n">
        <v>46</v>
      </c>
      <c r="B51" s="7"/>
      <c r="C51" s="7"/>
      <c r="D51" s="10"/>
      <c r="E51" s="10"/>
      <c r="F51" s="10"/>
      <c r="G51" s="12"/>
      <c r="H51" s="16"/>
      <c r="I51" s="7"/>
      <c r="J51" s="11" t="str">
        <f aca="true">IF(G51="","",IF(H51&gt;=1,"abgeschlossen",IF(G51&lt;TODAY(),"überfällig",IF(G51&lt;=TODAY()+30,"fällig in 30 Tagen","im Plan"))))</f>
        <v/>
      </c>
      <c r="K51" s="10"/>
    </row>
    <row r="52" customFormat="false" ht="25.5" hidden="false" customHeight="true" outlineLevel="0" collapsed="false">
      <c r="A52" s="10" t="n">
        <v>47</v>
      </c>
      <c r="B52" s="7"/>
      <c r="C52" s="7"/>
      <c r="D52" s="10"/>
      <c r="E52" s="10"/>
      <c r="F52" s="10"/>
      <c r="G52" s="12"/>
      <c r="H52" s="16"/>
      <c r="I52" s="7"/>
      <c r="J52" s="11" t="str">
        <f aca="true">IF(G52="","",IF(H52&gt;=1,"abgeschlossen",IF(G52&lt;TODAY(),"überfällig",IF(G52&lt;=TODAY()+30,"fällig in 30 Tagen","im Plan"))))</f>
        <v/>
      </c>
      <c r="K52" s="10"/>
    </row>
    <row r="53" customFormat="false" ht="25.5" hidden="false" customHeight="true" outlineLevel="0" collapsed="false">
      <c r="A53" s="10" t="n">
        <v>48</v>
      </c>
      <c r="B53" s="7"/>
      <c r="C53" s="7"/>
      <c r="D53" s="10"/>
      <c r="E53" s="10"/>
      <c r="F53" s="10"/>
      <c r="G53" s="12"/>
      <c r="H53" s="16"/>
      <c r="I53" s="7"/>
      <c r="J53" s="11" t="str">
        <f aca="true">IF(G53="","",IF(H53&gt;=1,"abgeschlossen",IF(G53&lt;TODAY(),"überfällig",IF(G53&lt;=TODAY()+30,"fällig in 30 Tagen","im Plan"))))</f>
        <v/>
      </c>
      <c r="K53" s="10"/>
    </row>
    <row r="54" customFormat="false" ht="25.5" hidden="false" customHeight="true" outlineLevel="0" collapsed="false">
      <c r="A54" s="10" t="n">
        <v>49</v>
      </c>
      <c r="B54" s="7"/>
      <c r="C54" s="7"/>
      <c r="D54" s="10"/>
      <c r="E54" s="10"/>
      <c r="F54" s="10"/>
      <c r="G54" s="12"/>
      <c r="H54" s="16"/>
      <c r="I54" s="7"/>
      <c r="J54" s="11" t="str">
        <f aca="true">IF(G54="","",IF(H54&gt;=1,"abgeschlossen",IF(G54&lt;TODAY(),"überfällig",IF(G54&lt;=TODAY()+30,"fällig in 30 Tagen","im Plan"))))</f>
        <v/>
      </c>
      <c r="K54" s="10"/>
    </row>
    <row r="55" customFormat="false" ht="25.5" hidden="false" customHeight="true" outlineLevel="0" collapsed="false">
      <c r="A55" s="10" t="n">
        <v>50</v>
      </c>
      <c r="B55" s="7"/>
      <c r="C55" s="7"/>
      <c r="D55" s="10"/>
      <c r="E55" s="10"/>
      <c r="F55" s="10"/>
      <c r="G55" s="12"/>
      <c r="H55" s="16"/>
      <c r="I55" s="7"/>
      <c r="J55" s="11" t="str">
        <f aca="true">IF(G55="","",IF(H55&gt;=1,"abgeschlossen",IF(G55&lt;TODAY(),"überfällig",IF(G55&lt;=TODAY()+30,"fällig in 30 Tagen","im Plan"))))</f>
        <v/>
      </c>
      <c r="K55" s="10"/>
    </row>
    <row r="56" customFormat="false" ht="25.5" hidden="false" customHeight="true" outlineLevel="0" collapsed="false">
      <c r="A56" s="10" t="n">
        <v>51</v>
      </c>
      <c r="B56" s="7"/>
      <c r="C56" s="7"/>
      <c r="D56" s="10"/>
      <c r="E56" s="10"/>
      <c r="F56" s="10"/>
      <c r="G56" s="12"/>
      <c r="H56" s="16"/>
      <c r="I56" s="7"/>
      <c r="J56" s="11" t="str">
        <f aca="true">IF(G56="","",IF(H56&gt;=1,"abgeschlossen",IF(G56&lt;TODAY(),"überfällig",IF(G56&lt;=TODAY()+30,"fällig in 30 Tagen","im Plan"))))</f>
        <v/>
      </c>
      <c r="K56" s="10"/>
    </row>
    <row r="57" customFormat="false" ht="25.5" hidden="false" customHeight="true" outlineLevel="0" collapsed="false">
      <c r="A57" s="10" t="n">
        <v>52</v>
      </c>
      <c r="B57" s="7"/>
      <c r="C57" s="7"/>
      <c r="D57" s="10"/>
      <c r="E57" s="10"/>
      <c r="F57" s="10"/>
      <c r="G57" s="12"/>
      <c r="H57" s="16"/>
      <c r="I57" s="7"/>
      <c r="J57" s="11" t="str">
        <f aca="true">IF(G57="","",IF(H57&gt;=1,"abgeschlossen",IF(G57&lt;TODAY(),"überfällig",IF(G57&lt;=TODAY()+30,"fällig in 30 Tagen","im Plan"))))</f>
        <v/>
      </c>
      <c r="K57" s="10"/>
    </row>
    <row r="58" customFormat="false" ht="25.5" hidden="false" customHeight="true" outlineLevel="0" collapsed="false">
      <c r="A58" s="10" t="n">
        <v>53</v>
      </c>
      <c r="B58" s="7"/>
      <c r="C58" s="7"/>
      <c r="D58" s="10"/>
      <c r="E58" s="10"/>
      <c r="F58" s="10"/>
      <c r="G58" s="12"/>
      <c r="H58" s="16"/>
      <c r="I58" s="7"/>
      <c r="J58" s="11" t="str">
        <f aca="true">IF(G58="","",IF(H58&gt;=1,"abgeschlossen",IF(G58&lt;TODAY(),"überfällig",IF(G58&lt;=TODAY()+30,"fällig in 30 Tagen","im Plan"))))</f>
        <v/>
      </c>
      <c r="K58" s="10"/>
    </row>
    <row r="59" customFormat="false" ht="25.5" hidden="false" customHeight="true" outlineLevel="0" collapsed="false">
      <c r="A59" s="10" t="n">
        <v>54</v>
      </c>
      <c r="B59" s="7"/>
      <c r="C59" s="7"/>
      <c r="D59" s="10"/>
      <c r="E59" s="10"/>
      <c r="F59" s="10"/>
      <c r="G59" s="12"/>
      <c r="H59" s="16"/>
      <c r="I59" s="7"/>
      <c r="J59" s="11" t="str">
        <f aca="true">IF(G59="","",IF(H59&gt;=1,"abgeschlossen",IF(G59&lt;TODAY(),"überfällig",IF(G59&lt;=TODAY()+30,"fällig in 30 Tagen","im Plan"))))</f>
        <v/>
      </c>
      <c r="K59" s="10"/>
    </row>
    <row r="60" customFormat="false" ht="25.5" hidden="false" customHeight="true" outlineLevel="0" collapsed="false">
      <c r="A60" s="10" t="n">
        <v>55</v>
      </c>
      <c r="B60" s="7"/>
      <c r="C60" s="7"/>
      <c r="D60" s="10"/>
      <c r="E60" s="10"/>
      <c r="F60" s="10"/>
      <c r="G60" s="12"/>
      <c r="H60" s="16"/>
      <c r="I60" s="7"/>
      <c r="J60" s="11" t="str">
        <f aca="true">IF(G60="","",IF(H60&gt;=1,"abgeschlossen",IF(G60&lt;TODAY(),"überfällig",IF(G60&lt;=TODAY()+30,"fällig in 30 Tagen","im Plan"))))</f>
        <v/>
      </c>
      <c r="K60" s="10"/>
    </row>
    <row r="61" customFormat="false" ht="25.5" hidden="false" customHeight="true" outlineLevel="0" collapsed="false">
      <c r="A61" s="10" t="n">
        <v>56</v>
      </c>
      <c r="B61" s="7"/>
      <c r="C61" s="7"/>
      <c r="D61" s="10"/>
      <c r="E61" s="10"/>
      <c r="F61" s="10"/>
      <c r="G61" s="12"/>
      <c r="H61" s="16"/>
      <c r="I61" s="7"/>
      <c r="J61" s="11" t="str">
        <f aca="true">IF(G61="","",IF(H61&gt;=1,"abgeschlossen",IF(G61&lt;TODAY(),"überfällig",IF(G61&lt;=TODAY()+30,"fällig in 30 Tagen","im Plan"))))</f>
        <v/>
      </c>
      <c r="K61" s="10"/>
    </row>
    <row r="62" customFormat="false" ht="25.5" hidden="false" customHeight="true" outlineLevel="0" collapsed="false">
      <c r="A62" s="10" t="n">
        <v>57</v>
      </c>
      <c r="B62" s="7"/>
      <c r="C62" s="7"/>
      <c r="D62" s="10"/>
      <c r="E62" s="10"/>
      <c r="F62" s="10"/>
      <c r="G62" s="12"/>
      <c r="H62" s="16"/>
      <c r="I62" s="7"/>
      <c r="J62" s="11" t="str">
        <f aca="true">IF(G62="","",IF(H62&gt;=1,"abgeschlossen",IF(G62&lt;TODAY(),"überfällig",IF(G62&lt;=TODAY()+30,"fällig in 30 Tagen","im Plan"))))</f>
        <v/>
      </c>
      <c r="K62" s="10"/>
    </row>
    <row r="63" customFormat="false" ht="25.5" hidden="false" customHeight="true" outlineLevel="0" collapsed="false">
      <c r="A63" s="10" t="n">
        <v>58</v>
      </c>
      <c r="B63" s="7"/>
      <c r="C63" s="7"/>
      <c r="D63" s="10"/>
      <c r="E63" s="10"/>
      <c r="F63" s="10"/>
      <c r="G63" s="12"/>
      <c r="H63" s="16"/>
      <c r="I63" s="7"/>
      <c r="J63" s="11" t="str">
        <f aca="true">IF(G63="","",IF(H63&gt;=1,"abgeschlossen",IF(G63&lt;TODAY(),"überfällig",IF(G63&lt;=TODAY()+30,"fällig in 30 Tagen","im Plan"))))</f>
        <v/>
      </c>
      <c r="K63" s="10"/>
    </row>
    <row r="64" customFormat="false" ht="25.5" hidden="false" customHeight="true" outlineLevel="0" collapsed="false">
      <c r="A64" s="10" t="n">
        <v>59</v>
      </c>
      <c r="B64" s="7"/>
      <c r="C64" s="7"/>
      <c r="D64" s="10"/>
      <c r="E64" s="10"/>
      <c r="F64" s="10"/>
      <c r="G64" s="12"/>
      <c r="H64" s="16"/>
      <c r="I64" s="7"/>
      <c r="J64" s="11" t="str">
        <f aca="true">IF(G64="","",IF(H64&gt;=1,"abgeschlossen",IF(G64&lt;TODAY(),"überfällig",IF(G64&lt;=TODAY()+30,"fällig in 30 Tagen","im Plan"))))</f>
        <v/>
      </c>
      <c r="K64" s="10"/>
    </row>
    <row r="65" customFormat="false" ht="25.5" hidden="false" customHeight="true" outlineLevel="0" collapsed="false">
      <c r="A65" s="10" t="n">
        <v>60</v>
      </c>
      <c r="B65" s="7"/>
      <c r="C65" s="7"/>
      <c r="D65" s="10"/>
      <c r="E65" s="10"/>
      <c r="F65" s="10"/>
      <c r="G65" s="12"/>
      <c r="H65" s="16"/>
      <c r="I65" s="7"/>
      <c r="J65" s="11" t="str">
        <f aca="true">IF(G65="","",IF(H65&gt;=1,"abgeschlossen",IF(G65&lt;TODAY(),"überfällig",IF(G65&lt;=TODAY()+30,"fällig in 30 Tagen","im Plan"))))</f>
        <v/>
      </c>
      <c r="K65" s="10"/>
    </row>
  </sheetData>
  <mergeCells count="2">
    <mergeCell ref="A1:K1"/>
    <mergeCell ref="A2:K2"/>
  </mergeCells>
  <conditionalFormatting sqref="J6:J65">
    <cfRule type="cellIs" priority="2" operator="equal" aboveAverage="0" equalAverage="0" bottom="0" percent="0" rank="0" text="" dxfId="1">
      <formula>"überfällig"</formula>
    </cfRule>
    <cfRule type="cellIs" priority="3" operator="equal" aboveAverage="0" equalAverage="0" bottom="0" percent="0" rank="0" text="" dxfId="3">
      <formula>"fällig in 30 Tagen"</formula>
    </cfRule>
    <cfRule type="cellIs" priority="4" operator="equal" aboveAverage="0" equalAverage="0" bottom="0" percent="0" rank="0" text="" dxfId="5">
      <formula>"abgeschlossen"</formula>
    </cfRule>
  </conditionalFormatting>
  <dataValidations count="3">
    <dataValidation allowBlank="true" error="Bitte einen Wert aus der Liste wählen. Freitext führt zu falschen Einstufungen." errorStyle="stop" errorTitle="Ungültige Eingabe" operator="between" showDropDown="false" showErrorMessage="true" showInputMessage="false" sqref="B6:B65" type="list">
      <formula1>'01_KI-Inventar'!$A$6:$A$65</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C6:C65" type="list">
      <formula1>'04_Pflichten-Matrix'!$A$6:$A$95</formula1>
      <formula2>0</formula2>
    </dataValidation>
    <dataValidation allowBlank="true" error="Bitte einen Wert aus der Liste wählen. Freitext führt zu falschen Einstufungen." errorStyle="stop" errorTitle="Ungültige Eingabe" operator="between" showDropDown="false" showErrorMessage="true" showInputMessage="false" sqref="I6:I65" type="list">
      <formula1>'08_Register'!$G$5:$G$7</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18"/>
    <col collapsed="false" customWidth="true" hidden="false" outlineLevel="0" max="4" min="4" style="0" width="60"/>
  </cols>
  <sheetData>
    <row r="1" customFormat="false" ht="24" hidden="false" customHeight="true" outlineLevel="0" collapsed="false">
      <c r="A1" s="1" t="s">
        <v>434</v>
      </c>
      <c r="B1" s="1"/>
      <c r="C1" s="1"/>
      <c r="D1" s="1"/>
    </row>
    <row r="2" customFormat="false" ht="15" hidden="false" customHeight="false" outlineLevel="0" collapsed="false">
      <c r="A2" s="2" t="s">
        <v>435</v>
      </c>
      <c r="B2" s="2"/>
      <c r="C2" s="2"/>
      <c r="D2" s="2"/>
    </row>
    <row r="5" customFormat="false" ht="15" hidden="false" customHeight="false" outlineLevel="0" collapsed="false">
      <c r="B5" s="6" t="s">
        <v>436</v>
      </c>
    </row>
    <row r="6" customFormat="false" ht="15" hidden="false" customHeight="false" outlineLevel="0" collapsed="false">
      <c r="B6" s="9" t="s">
        <v>437</v>
      </c>
      <c r="C6" s="9" t="s">
        <v>438</v>
      </c>
      <c r="D6" s="9" t="s">
        <v>439</v>
      </c>
    </row>
    <row r="7" customFormat="false" ht="21.75" hidden="false" customHeight="true" outlineLevel="0" collapsed="false">
      <c r="B7" s="5" t="s">
        <v>440</v>
      </c>
      <c r="C7" s="17" t="n">
        <f aca="false">COUNTIF('01_KI-Inventar'!$B$6:$B$65,"?*")</f>
        <v>0</v>
      </c>
      <c r="D7" s="18"/>
    </row>
    <row r="8" customFormat="false" ht="21.75" hidden="false" customHeight="true" outlineLevel="0" collapsed="false">
      <c r="B8" s="5" t="s">
        <v>441</v>
      </c>
      <c r="C8" s="17" t="n">
        <f aca="false">COUNTIF('03_Risiko-Einstufung'!$K$6:$K$65,"?*")</f>
        <v>0</v>
      </c>
      <c r="D8" s="18"/>
    </row>
    <row r="9" customFormat="false" ht="21.75" hidden="false" customHeight="true" outlineLevel="0" collapsed="false">
      <c r="B9" s="5" t="s">
        <v>442</v>
      </c>
      <c r="C9" s="17" t="n">
        <f aca="false">COUNTIF('03_Risiko-Einstufung'!$K$6:$K$65,"VERBOTEN (Art. 5)")</f>
        <v>0</v>
      </c>
      <c r="D9" s="18" t="s">
        <v>443</v>
      </c>
    </row>
    <row r="10" customFormat="false" ht="21.75" hidden="false" customHeight="true" outlineLevel="0" collapsed="false">
      <c r="B10" s="5" t="s">
        <v>281</v>
      </c>
      <c r="C10" s="17" t="n">
        <f aca="false">COUNTIF('03_Risiko-Einstufung'!$K$6:$K$65,"Hochrisiko Anhang III")</f>
        <v>0</v>
      </c>
      <c r="D10" s="18" t="s">
        <v>444</v>
      </c>
    </row>
    <row r="11" customFormat="false" ht="21.75" hidden="false" customHeight="true" outlineLevel="0" collapsed="false">
      <c r="B11" s="5" t="s">
        <v>445</v>
      </c>
      <c r="C11" s="17" t="n">
        <f aca="false">COUNTIF('03_Risiko-Einstufung'!$K$6:$K$65,"Hochrisiko Anhang I Abschnitt A")</f>
        <v>0</v>
      </c>
      <c r="D11" s="18" t="s">
        <v>446</v>
      </c>
    </row>
    <row r="12" customFormat="false" ht="21.75" hidden="false" customHeight="true" outlineLevel="0" collapsed="false">
      <c r="B12" s="5" t="s">
        <v>447</v>
      </c>
      <c r="C12" s="17" t="n">
        <f aca="false">COUNTIF('03_Risiko-Einstufung'!$K$6:$K$65,"Hochrisiko Anhang I Abschnitt A und Anhang III")</f>
        <v>0</v>
      </c>
      <c r="D12" s="18" t="s">
        <v>448</v>
      </c>
    </row>
    <row r="13" customFormat="false" ht="21.75" hidden="false" customHeight="true" outlineLevel="0" collapsed="false">
      <c r="B13" s="5" t="s">
        <v>449</v>
      </c>
      <c r="C13" s="17" t="n">
        <f aca="false">COUNTIF('03_Risiko-Einstufung'!$K$6:$K$65,"Hochrisiko Anhang I Abschnitt B*")</f>
        <v>0</v>
      </c>
      <c r="D13" s="18" t="s">
        <v>450</v>
      </c>
    </row>
    <row r="14" customFormat="false" ht="21.75" hidden="false" customHeight="true" outlineLevel="0" collapsed="false">
      <c r="B14" s="5" t="s">
        <v>451</v>
      </c>
      <c r="C14" s="17" t="n">
        <f aca="false">COUNTIF('03_Risiko-Einstufung'!$K$6:$K$65,"Kein Hochrisiko (Art. 6 Abs. 3)")</f>
        <v>0</v>
      </c>
      <c r="D14" s="18" t="s">
        <v>452</v>
      </c>
    </row>
    <row r="15" customFormat="false" ht="21.75" hidden="false" customHeight="true" outlineLevel="0" collapsed="false">
      <c r="B15" s="5" t="s">
        <v>453</v>
      </c>
      <c r="C15" s="17" t="n">
        <f aca="false">COUNTIF('03_Risiko-Einstufung'!$K$6:$K$65,"Transparenzpflicht (Art. 50)")</f>
        <v>0</v>
      </c>
      <c r="D15" s="18" t="s">
        <v>454</v>
      </c>
    </row>
    <row r="16" customFormat="false" ht="21.75" hidden="false" customHeight="true" outlineLevel="0" collapsed="false">
      <c r="B16" s="5" t="s">
        <v>455</v>
      </c>
      <c r="C16" s="17" t="n">
        <f aca="false">COUNTIF('03_Risiko-Einstufung'!$K$6:$K$65,"Geringes Risiko")</f>
        <v>0</v>
      </c>
      <c r="D16" s="18" t="s">
        <v>456</v>
      </c>
    </row>
    <row r="17" customFormat="false" ht="21.75" hidden="false" customHeight="true" outlineLevel="0" collapsed="false">
      <c r="B17" s="5" t="s">
        <v>457</v>
      </c>
      <c r="C17" s="17" t="n">
        <f aca="false">COUNTIF('03_Risiko-Einstufung'!$K$6:$K$65,"noch offen*")</f>
        <v>0</v>
      </c>
      <c r="D17" s="18" t="s">
        <v>458</v>
      </c>
    </row>
    <row r="19" customFormat="false" ht="15" hidden="false" customHeight="false" outlineLevel="0" collapsed="false">
      <c r="B19" s="6" t="s">
        <v>459</v>
      </c>
    </row>
    <row r="20" customFormat="false" ht="15" hidden="false" customHeight="false" outlineLevel="0" collapsed="false">
      <c r="B20" s="9" t="s">
        <v>437</v>
      </c>
      <c r="C20" s="9" t="s">
        <v>438</v>
      </c>
      <c r="D20" s="9" t="s">
        <v>439</v>
      </c>
    </row>
    <row r="21" customFormat="false" ht="21.75" hidden="false" customHeight="true" outlineLevel="0" collapsed="false">
      <c r="B21" s="5" t="s">
        <v>460</v>
      </c>
      <c r="C21" s="17" t="n">
        <f aca="false">COUNTIF('03_Risiko-Einstufung'!$P$6:$P$65,"Einstufung bestätigt")</f>
        <v>0</v>
      </c>
      <c r="D21" s="18"/>
    </row>
    <row r="22" customFormat="false" ht="21.75" hidden="false" customHeight="true" outlineLevel="0" collapsed="false">
      <c r="B22" s="5" t="s">
        <v>461</v>
      </c>
      <c r="C22" s="17" t="n">
        <f aca="false">COUNTIF('03_Risiko-Einstufung'!$P$6:$P$65,"Arbeitsannahme — nicht bestätigt")</f>
        <v>0</v>
      </c>
      <c r="D22" s="18" t="s">
        <v>462</v>
      </c>
    </row>
    <row r="23" customFormat="false" ht="21.75" hidden="false" customHeight="true" outlineLevel="0" collapsed="false">
      <c r="B23" s="5" t="s">
        <v>463</v>
      </c>
      <c r="C23" s="17" t="n">
        <f aca="false">COUNTIF('03_Risiko-Einstufung'!$P$6:$P$65,"Juristische Prüfung erforderlich")</f>
        <v>0</v>
      </c>
      <c r="D23" s="18" t="s">
        <v>464</v>
      </c>
    </row>
    <row r="24" customFormat="false" ht="21.75" hidden="false" customHeight="true" outlineLevel="0" collapsed="false">
      <c r="B24" s="5" t="s">
        <v>465</v>
      </c>
      <c r="C24" s="17" t="n">
        <f aca="false">COUNTIF('03_Risiko-Einstufung'!$P$6:$P$65,"Prüfung unvollständig")</f>
        <v>0</v>
      </c>
      <c r="D24" s="18" t="s">
        <v>466</v>
      </c>
    </row>
    <row r="25" customFormat="false" ht="21.75" hidden="false" customHeight="true" outlineLevel="0" collapsed="false">
      <c r="B25" s="5" t="s">
        <v>467</v>
      </c>
      <c r="C25" s="17" t="n">
        <f aca="false">COUNTIFS('03_Risiko-Einstufung'!$K$6:$K$65,"?*",'03_Risiko-Einstufung'!$R$6:$R$65,"")</f>
        <v>0</v>
      </c>
      <c r="D25" s="18" t="s">
        <v>468</v>
      </c>
    </row>
    <row r="27" customFormat="false" ht="15" hidden="false" customHeight="false" outlineLevel="0" collapsed="false">
      <c r="B27" s="6" t="s">
        <v>469</v>
      </c>
    </row>
    <row r="28" customFormat="false" ht="15" hidden="false" customHeight="false" outlineLevel="0" collapsed="false">
      <c r="B28" s="9" t="s">
        <v>437</v>
      </c>
      <c r="C28" s="9" t="s">
        <v>438</v>
      </c>
      <c r="D28" s="9" t="s">
        <v>439</v>
      </c>
    </row>
    <row r="29" customFormat="false" ht="21.75" hidden="false" customHeight="true" outlineLevel="0" collapsed="false">
      <c r="B29" s="5" t="s">
        <v>470</v>
      </c>
      <c r="C29" s="17" t="n">
        <f aca="false">COUNTIF('04_Pflichten-Matrix'!$H$6:$H$95,"Ja")</f>
        <v>0</v>
      </c>
      <c r="D29" s="18"/>
    </row>
    <row r="30" customFormat="false" ht="21.75" hidden="false" customHeight="true" outlineLevel="0" collapsed="false">
      <c r="B30" s="5" t="s">
        <v>471</v>
      </c>
      <c r="C30" s="17" t="n">
        <f aca="false">COUNTIFS('04_Pflichten-Matrix'!$H$6:$H$95,"Ja",'04_Pflichten-Matrix'!$I$6:$I$95,"erfüllt")</f>
        <v>0</v>
      </c>
      <c r="D30" s="18"/>
    </row>
    <row r="31" customFormat="false" ht="21.75" hidden="false" customHeight="true" outlineLevel="0" collapsed="false">
      <c r="B31" s="5" t="s">
        <v>472</v>
      </c>
      <c r="C31" s="17" t="n">
        <f aca="false">COUNTIFS('04_Pflichten-Matrix'!$H$6:$H$95,"Ja",'04_Pflichten-Matrix'!$I$6:$I$95,"in Arbeit")</f>
        <v>0</v>
      </c>
      <c r="D31" s="18"/>
    </row>
    <row r="32" customFormat="false" ht="21.75" hidden="false" customHeight="true" outlineLevel="0" collapsed="false">
      <c r="B32" s="5" t="s">
        <v>473</v>
      </c>
      <c r="C32" s="17" t="n">
        <f aca="false">COUNTIFS('04_Pflichten-Matrix'!$H$6:$H$95,"Ja",'04_Pflichten-Matrix'!$I$6:$I$95,"offen")</f>
        <v>0</v>
      </c>
      <c r="D32" s="18"/>
    </row>
    <row r="33" customFormat="false" ht="21.75" hidden="false" customHeight="true" outlineLevel="0" collapsed="false">
      <c r="B33" s="5" t="s">
        <v>474</v>
      </c>
      <c r="C33" s="17" t="n">
        <f aca="false">COUNTIFS('04_Pflichten-Matrix'!$H$6:$H$95,"Ja",'04_Pflichten-Matrix'!$I$6:$I$95,"")</f>
        <v>0</v>
      </c>
      <c r="D33" s="18" t="s">
        <v>475</v>
      </c>
    </row>
    <row r="34" customFormat="false" ht="21.75" hidden="false" customHeight="true" outlineLevel="0" collapsed="false">
      <c r="B34" s="5" t="s">
        <v>476</v>
      </c>
      <c r="C34" s="19" t="n">
        <f aca="false">IFERROR(COUNTIFS('04_Pflichten-Matrix'!$H$6:$H$95,"Ja",'04_Pflichten-Matrix'!$I$6:$I$95,"erfüllt")/(COUNTIF('04_Pflichten-Matrix'!$H$6:$H$95,"Ja")-COUNTIFS('04_Pflichten-Matrix'!$H$6:$H$95,"Ja",'04_Pflichten-Matrix'!$I$6:$I$95,"nicht anwendbar")),0)</f>
        <v>0</v>
      </c>
      <c r="D34" s="18" t="s">
        <v>477</v>
      </c>
    </row>
    <row r="35" customFormat="false" ht="21.75" hidden="false" customHeight="true" outlineLevel="0" collapsed="false">
      <c r="B35" s="5" t="s">
        <v>478</v>
      </c>
      <c r="C35" s="17" t="n">
        <f aca="false">COUNTIF('04_Pflichten-Matrix'!$H$6:$H$95,"noch offen")+COUNTIF('04_Pflichten-Matrix'!$H$6:$H$95,"")</f>
        <v>90</v>
      </c>
      <c r="D35" s="18" t="s">
        <v>479</v>
      </c>
    </row>
    <row r="37" customFormat="false" ht="15" hidden="false" customHeight="false" outlineLevel="0" collapsed="false">
      <c r="B37" s="6" t="s">
        <v>480</v>
      </c>
    </row>
    <row r="38" customFormat="false" ht="15" hidden="false" customHeight="false" outlineLevel="0" collapsed="false">
      <c r="B38" s="9" t="s">
        <v>437</v>
      </c>
      <c r="C38" s="9" t="s">
        <v>438</v>
      </c>
      <c r="D38" s="9" t="s">
        <v>439</v>
      </c>
    </row>
    <row r="39" customFormat="false" ht="21.75" hidden="false" customHeight="true" outlineLevel="0" collapsed="false">
      <c r="B39" s="5" t="s">
        <v>481</v>
      </c>
      <c r="C39" s="17" t="n">
        <f aca="false">COUNTIF('05_Maßnahmenplan'!$E$6:$E$65,"?*")</f>
        <v>0</v>
      </c>
      <c r="D39" s="18"/>
    </row>
    <row r="40" customFormat="false" ht="21.75" hidden="false" customHeight="true" outlineLevel="0" collapsed="false">
      <c r="B40" s="5" t="s">
        <v>482</v>
      </c>
      <c r="C40" s="17" t="n">
        <f aca="false">COUNTIFS('05_Maßnahmenplan'!$E$6:$E$65,"?*",'05_Maßnahmenplan'!$G$6:$G$65,"")</f>
        <v>0</v>
      </c>
      <c r="D40" s="18" t="s">
        <v>483</v>
      </c>
    </row>
    <row r="41" customFormat="false" ht="21.75" hidden="false" customHeight="true" outlineLevel="0" collapsed="false">
      <c r="B41" s="5" t="s">
        <v>484</v>
      </c>
      <c r="C41" s="17" t="n">
        <f aca="false">COUNTIF('05_Maßnahmenplan'!$J$6:$J$65,"überfällig")</f>
        <v>0</v>
      </c>
      <c r="D41" s="18" t="s">
        <v>485</v>
      </c>
    </row>
    <row r="42" customFormat="false" ht="21.75" hidden="false" customHeight="true" outlineLevel="0" collapsed="false">
      <c r="B42" s="5" t="s">
        <v>486</v>
      </c>
      <c r="C42" s="17" t="n">
        <f aca="false">COUNTIF('05_Maßnahmenplan'!$J$6:$J$65,"fällig in 30 Tagen")</f>
        <v>0</v>
      </c>
      <c r="D42" s="18"/>
    </row>
    <row r="43" customFormat="false" ht="21.75" hidden="false" customHeight="true" outlineLevel="0" collapsed="false">
      <c r="B43" s="5" t="s">
        <v>487</v>
      </c>
      <c r="C43" s="17" t="n">
        <f aca="false">COUNTIF('05_Maßnahmenplan'!$J$6:$J$65,"abgeschlossen")</f>
        <v>0</v>
      </c>
      <c r="D43" s="18"/>
    </row>
    <row r="45" customFormat="false" ht="15" hidden="false" customHeight="false" outlineLevel="0" collapsed="false">
      <c r="B45" s="6" t="s">
        <v>488</v>
      </c>
    </row>
    <row r="46" customFormat="false" ht="15" hidden="false" customHeight="false" outlineLevel="0" collapsed="false">
      <c r="B46" s="9" t="s">
        <v>437</v>
      </c>
      <c r="C46" s="9" t="s">
        <v>438</v>
      </c>
      <c r="D46" s="9" t="s">
        <v>439</v>
      </c>
    </row>
    <row r="47" customFormat="false" ht="21.75" hidden="false" customHeight="true" outlineLevel="0" collapsed="false">
      <c r="B47" s="5" t="s">
        <v>489</v>
      </c>
      <c r="C47" s="20" t="n">
        <f aca="false">DATE(2026,8,2)</f>
        <v>46236</v>
      </c>
      <c r="D47" s="18"/>
    </row>
    <row r="48" customFormat="false" ht="21.75" hidden="false" customHeight="true" outlineLevel="0" collapsed="false">
      <c r="B48" s="5" t="s">
        <v>490</v>
      </c>
      <c r="C48" s="20" t="n">
        <f aca="false">DATE(2026,12,2)</f>
        <v>46358</v>
      </c>
      <c r="D48" s="18"/>
    </row>
    <row r="49" customFormat="false" ht="21.75" hidden="false" customHeight="true" outlineLevel="0" collapsed="false">
      <c r="B49" s="5" t="s">
        <v>491</v>
      </c>
      <c r="C49" s="20" t="n">
        <f aca="false">DATE(2027,12,2)</f>
        <v>46723</v>
      </c>
      <c r="D49" s="18"/>
    </row>
    <row r="50" customFormat="false" ht="21.75" hidden="false" customHeight="true" outlineLevel="0" collapsed="false">
      <c r="B50" s="5" t="s">
        <v>492</v>
      </c>
      <c r="C50" s="20" t="n">
        <f aca="false">DATE(2028,8,2)</f>
        <v>46967</v>
      </c>
      <c r="D50" s="18"/>
    </row>
    <row r="51" customFormat="false" ht="21.75" hidden="false" customHeight="true" outlineLevel="0" collapsed="false">
      <c r="B51" s="5" t="s">
        <v>493</v>
      </c>
      <c r="C51" s="20" t="n">
        <f aca="false">DATE(2027,8,2)</f>
        <v>46601</v>
      </c>
      <c r="D51" s="18" t="s">
        <v>494</v>
      </c>
    </row>
    <row r="53" customFormat="false" ht="15" hidden="false" customHeight="false" outlineLevel="0" collapsed="false">
      <c r="B53" s="15" t="s">
        <v>495</v>
      </c>
      <c r="C53" s="15"/>
      <c r="D53" s="15"/>
    </row>
  </sheetData>
  <mergeCells count="3">
    <mergeCell ref="A1:D1"/>
    <mergeCell ref="A2:D2"/>
    <mergeCell ref="B53:D53"/>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62"/>
    <col collapsed="false" customWidth="true" hidden="false" outlineLevel="0" max="4" min="4" style="0" width="60"/>
    <col collapsed="false" customWidth="true" hidden="false" outlineLevel="0" max="5" min="5" style="0" width="15"/>
    <col collapsed="false" customWidth="true" hidden="false" outlineLevel="0" max="6" min="6" style="0" width="30"/>
  </cols>
  <sheetData>
    <row r="1" customFormat="false" ht="24" hidden="false" customHeight="true" outlineLevel="0" collapsed="false">
      <c r="A1" s="1" t="s">
        <v>496</v>
      </c>
      <c r="B1" s="1"/>
      <c r="C1" s="1"/>
      <c r="D1" s="1"/>
    </row>
    <row r="2" customFormat="false" ht="15" hidden="false" customHeight="false" outlineLevel="0" collapsed="false">
      <c r="A2" s="2" t="s">
        <v>497</v>
      </c>
      <c r="B2" s="2"/>
      <c r="C2" s="2"/>
      <c r="D2" s="2"/>
    </row>
    <row r="5" customFormat="false" ht="24" hidden="false" customHeight="true" outlineLevel="0" collapsed="false">
      <c r="A5" s="9" t="s">
        <v>498</v>
      </c>
      <c r="B5" s="9" t="s">
        <v>122</v>
      </c>
      <c r="C5" s="9" t="s">
        <v>499</v>
      </c>
      <c r="D5" s="9" t="s">
        <v>500</v>
      </c>
      <c r="E5" s="9" t="s">
        <v>501</v>
      </c>
      <c r="F5" s="9" t="s">
        <v>127</v>
      </c>
    </row>
    <row r="6" customFormat="false" ht="33.75" hidden="false" customHeight="true" outlineLevel="0" collapsed="false">
      <c r="A6" s="5" t="s">
        <v>502</v>
      </c>
      <c r="B6" s="5" t="s">
        <v>503</v>
      </c>
      <c r="C6" s="21" t="s">
        <v>504</v>
      </c>
      <c r="D6" s="5" t="s">
        <v>505</v>
      </c>
      <c r="E6" s="5" t="s">
        <v>506</v>
      </c>
      <c r="F6" s="5" t="s">
        <v>507</v>
      </c>
    </row>
    <row r="7" customFormat="false" ht="33.75" hidden="false" customHeight="true" outlineLevel="0" collapsed="false">
      <c r="A7" s="5" t="s">
        <v>508</v>
      </c>
      <c r="B7" s="5" t="s">
        <v>509</v>
      </c>
      <c r="C7" s="21" t="s">
        <v>510</v>
      </c>
      <c r="D7" s="5" t="s">
        <v>511</v>
      </c>
      <c r="E7" s="5" t="s">
        <v>506</v>
      </c>
      <c r="F7" s="5" t="s">
        <v>507</v>
      </c>
    </row>
    <row r="8" customFormat="false" ht="33.75" hidden="false" customHeight="true" outlineLevel="0" collapsed="false">
      <c r="A8" s="5" t="s">
        <v>512</v>
      </c>
      <c r="B8" s="5" t="s">
        <v>513</v>
      </c>
      <c r="C8" s="21" t="s">
        <v>514</v>
      </c>
      <c r="D8" s="5" t="s">
        <v>515</v>
      </c>
      <c r="E8" s="5" t="s">
        <v>506</v>
      </c>
      <c r="F8" s="5" t="s">
        <v>507</v>
      </c>
    </row>
    <row r="9" customFormat="false" ht="33.75" hidden="false" customHeight="true" outlineLevel="0" collapsed="false">
      <c r="A9" s="5" t="s">
        <v>516</v>
      </c>
      <c r="B9" s="5" t="s">
        <v>517</v>
      </c>
      <c r="C9" s="21" t="s">
        <v>518</v>
      </c>
      <c r="D9" s="5" t="s">
        <v>519</v>
      </c>
      <c r="E9" s="5" t="s">
        <v>506</v>
      </c>
      <c r="F9" s="5" t="s">
        <v>507</v>
      </c>
    </row>
    <row r="10" customFormat="false" ht="33.75" hidden="false" customHeight="true" outlineLevel="0" collapsed="false">
      <c r="A10" s="5" t="s">
        <v>520</v>
      </c>
      <c r="B10" s="5" t="s">
        <v>521</v>
      </c>
      <c r="C10" s="21" t="s">
        <v>522</v>
      </c>
      <c r="D10" s="5" t="s">
        <v>523</v>
      </c>
      <c r="E10" s="5" t="s">
        <v>506</v>
      </c>
      <c r="F10" s="5" t="s">
        <v>507</v>
      </c>
    </row>
    <row r="11" customFormat="false" ht="33.75" hidden="false" customHeight="true" outlineLevel="0" collapsed="false">
      <c r="A11" s="5" t="s">
        <v>524</v>
      </c>
      <c r="B11" s="5" t="s">
        <v>525</v>
      </c>
      <c r="C11" s="21" t="s">
        <v>526</v>
      </c>
      <c r="D11" s="5" t="s">
        <v>527</v>
      </c>
      <c r="E11" s="5" t="s">
        <v>506</v>
      </c>
      <c r="F11" s="5" t="s">
        <v>507</v>
      </c>
    </row>
    <row r="12" customFormat="false" ht="33.75" hidden="false" customHeight="true" outlineLevel="0" collapsed="false">
      <c r="A12" s="5" t="s">
        <v>528</v>
      </c>
      <c r="B12" s="5" t="s">
        <v>529</v>
      </c>
      <c r="C12" s="21" t="s">
        <v>530</v>
      </c>
      <c r="D12" s="5"/>
      <c r="E12" s="5" t="s">
        <v>506</v>
      </c>
      <c r="F12" s="5" t="s">
        <v>531</v>
      </c>
    </row>
    <row r="13" customFormat="false" ht="33.75" hidden="false" customHeight="true" outlineLevel="0" collapsed="false">
      <c r="A13" s="5" t="s">
        <v>532</v>
      </c>
      <c r="B13" s="5" t="s">
        <v>533</v>
      </c>
      <c r="C13" s="21" t="s">
        <v>534</v>
      </c>
      <c r="D13" s="5" t="s">
        <v>535</v>
      </c>
      <c r="E13" s="5" t="s">
        <v>506</v>
      </c>
      <c r="F13" s="5" t="s">
        <v>531</v>
      </c>
    </row>
    <row r="14" customFormat="false" ht="33.75" hidden="false" customHeight="true" outlineLevel="0" collapsed="false">
      <c r="A14" s="5" t="s">
        <v>536</v>
      </c>
      <c r="B14" s="5" t="s">
        <v>537</v>
      </c>
      <c r="C14" s="21" t="s">
        <v>538</v>
      </c>
      <c r="D14" s="5" t="s">
        <v>539</v>
      </c>
      <c r="E14" s="5" t="s">
        <v>506</v>
      </c>
      <c r="F14" s="5" t="s">
        <v>540</v>
      </c>
    </row>
    <row r="15" customFormat="false" ht="33.75" hidden="false" customHeight="true" outlineLevel="0" collapsed="false">
      <c r="A15" s="5" t="s">
        <v>541</v>
      </c>
      <c r="B15" s="5" t="s">
        <v>542</v>
      </c>
      <c r="C15" s="21" t="s">
        <v>543</v>
      </c>
      <c r="D15" s="5" t="s">
        <v>544</v>
      </c>
      <c r="E15" s="5" t="s">
        <v>506</v>
      </c>
      <c r="F15" s="5" t="s">
        <v>545</v>
      </c>
    </row>
    <row r="18" customFormat="false" ht="15" hidden="false" customHeight="false" outlineLevel="0" collapsed="false">
      <c r="A18" s="6" t="s">
        <v>546</v>
      </c>
    </row>
    <row r="19" customFormat="false" ht="25.5" hidden="false" customHeight="true" outlineLevel="0" collapsed="false">
      <c r="A19" s="22" t="s">
        <v>547</v>
      </c>
      <c r="B19" s="22"/>
      <c r="C19" s="22"/>
      <c r="D19" s="22"/>
      <c r="E19" s="22"/>
      <c r="F19" s="22"/>
    </row>
    <row r="20" customFormat="false" ht="25.5" hidden="false" customHeight="true" outlineLevel="0" collapsed="false">
      <c r="A20" s="22" t="s">
        <v>548</v>
      </c>
      <c r="B20" s="22"/>
      <c r="C20" s="22"/>
      <c r="D20" s="22"/>
      <c r="E20" s="22"/>
      <c r="F20" s="22"/>
    </row>
    <row r="21" customFormat="false" ht="25.5" hidden="false" customHeight="true" outlineLevel="0" collapsed="false">
      <c r="A21" s="22" t="s">
        <v>549</v>
      </c>
      <c r="B21" s="22"/>
      <c r="C21" s="22"/>
      <c r="D21" s="22"/>
      <c r="E21" s="22"/>
      <c r="F21" s="22"/>
    </row>
    <row r="22" customFormat="false" ht="25.5" hidden="false" customHeight="true" outlineLevel="0" collapsed="false">
      <c r="A22" s="22" t="s">
        <v>550</v>
      </c>
      <c r="B22" s="22"/>
      <c r="C22" s="22"/>
      <c r="D22" s="22"/>
      <c r="E22" s="22"/>
      <c r="F22" s="22"/>
    </row>
    <row r="23" customFormat="false" ht="25.5" hidden="false" customHeight="true" outlineLevel="0" collapsed="false">
      <c r="A23" s="22" t="s">
        <v>551</v>
      </c>
      <c r="B23" s="22"/>
      <c r="C23" s="22"/>
      <c r="D23" s="22"/>
      <c r="E23" s="22"/>
      <c r="F23" s="22"/>
    </row>
  </sheetData>
  <mergeCells count="7">
    <mergeCell ref="A1:D1"/>
    <mergeCell ref="A2:D2"/>
    <mergeCell ref="A19:F19"/>
    <mergeCell ref="A20:F20"/>
    <mergeCell ref="A21:F21"/>
    <mergeCell ref="A22:F22"/>
    <mergeCell ref="A23:F23"/>
  </mergeCells>
  <hyperlinks>
    <hyperlink ref="C6" r:id="rId1" display="https://eur-lex.europa.eu/eli/reg/2024/1689/oj/deu"/>
    <hyperlink ref="C7" r:id="rId2" display="https://eur-lex.europa.eu/eli/reg/2026/1744/oj/deu"/>
    <hyperlink ref="C8" r:id="rId3" display="https://eur-lex.europa.eu/legal-content/DE/TXT/?uri=CELEX:52025PC0836"/>
    <hyperlink ref="C9" r:id="rId4" display="https://eur-lex.europa.eu/legal-content/DE/TXT/?uri=CELEX:32003H0361"/>
    <hyperlink ref="C10" r:id="rId5" display="https://eur-lex.europa.eu/legal-content/DE/TXT/PDF/?uri=OJ:L_202501099"/>
    <hyperlink ref="C11" r:id="rId6" display="https://eur-lex.europa.eu/legal-content/DE/TXT/?uri=CELEX:32011L0093"/>
    <hyperlink ref="C12" r:id="rId7" display="https://www.consilium.europa.eu/en/press/press-releases/2026/06/29/artificial-intelligence-council-gives-final-green-light-to-simplify-and-streamline-rules/"/>
    <hyperlink ref="C13" r:id="rId8" display="https://www.europarl.europa.eu/legislative-train/package-digital-package/file-digital-omnibus-on-ai"/>
    <hyperlink ref="C14" r:id="rId9" display="https://artificialintelligenceact.eu/de/"/>
    <hyperlink ref="C15" r:id="rId10" display="https://ai-act-law.eu/de/"/>
  </hyperlink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05"/>
  </cols>
  <sheetData>
    <row r="1" customFormat="false" ht="24" hidden="false" customHeight="true" outlineLevel="0" collapsed="false">
      <c r="A1" s="1" t="s">
        <v>552</v>
      </c>
      <c r="B1" s="1"/>
      <c r="C1" s="1"/>
    </row>
    <row r="2" customFormat="false" ht="15" hidden="false" customHeight="false" outlineLevel="0" collapsed="false">
      <c r="A2" s="2" t="s">
        <v>553</v>
      </c>
      <c r="B2" s="2"/>
      <c r="C2" s="2"/>
    </row>
    <row r="5" customFormat="false" ht="15" hidden="false" customHeight="false" outlineLevel="0" collapsed="false">
      <c r="B5" s="3" t="s">
        <v>554</v>
      </c>
      <c r="C5" s="3"/>
    </row>
    <row r="6" customFormat="false" ht="39" hidden="false" customHeight="true" outlineLevel="0" collapsed="false">
      <c r="B6" s="4" t="s">
        <v>555</v>
      </c>
      <c r="C6" s="5" t="s">
        <v>556</v>
      </c>
    </row>
    <row r="8" customFormat="false" ht="15" hidden="false" customHeight="false" outlineLevel="0" collapsed="false">
      <c r="B8" s="3" t="s">
        <v>557</v>
      </c>
      <c r="C8" s="3"/>
    </row>
    <row r="9" customFormat="false" ht="51.75" hidden="false" customHeight="true" outlineLevel="0" collapsed="false">
      <c r="B9" s="4" t="s">
        <v>21</v>
      </c>
      <c r="C9" s="5" t="s">
        <v>558</v>
      </c>
    </row>
    <row r="10" customFormat="false" ht="39" hidden="false" customHeight="true" outlineLevel="0" collapsed="false">
      <c r="B10" s="4" t="s">
        <v>23</v>
      </c>
      <c r="C10" s="5" t="s">
        <v>559</v>
      </c>
    </row>
    <row r="11" customFormat="false" ht="39" hidden="false" customHeight="true" outlineLevel="0" collapsed="false">
      <c r="B11" s="4" t="s">
        <v>560</v>
      </c>
      <c r="C11" s="5" t="s">
        <v>561</v>
      </c>
    </row>
    <row r="12" customFormat="false" ht="51.75" hidden="false" customHeight="true" outlineLevel="0" collapsed="false">
      <c r="B12" s="4" t="s">
        <v>25</v>
      </c>
      <c r="C12" s="5" t="s">
        <v>562</v>
      </c>
    </row>
    <row r="13" customFormat="false" ht="39" hidden="false" customHeight="true" outlineLevel="0" collapsed="false">
      <c r="B13" s="4" t="s">
        <v>563</v>
      </c>
      <c r="C13" s="5" t="s">
        <v>564</v>
      </c>
    </row>
    <row r="14" customFormat="false" ht="51.75" hidden="false" customHeight="true" outlineLevel="0" collapsed="false">
      <c r="B14" s="4" t="s">
        <v>565</v>
      </c>
      <c r="C14" s="5" t="s">
        <v>566</v>
      </c>
    </row>
    <row r="15" customFormat="false" ht="51.75" hidden="false" customHeight="true" outlineLevel="0" collapsed="false">
      <c r="B15" s="4" t="s">
        <v>27</v>
      </c>
      <c r="C15" s="5" t="s">
        <v>567</v>
      </c>
    </row>
    <row r="16" customFormat="false" ht="51.75" hidden="false" customHeight="true" outlineLevel="0" collapsed="false">
      <c r="B16" s="4" t="s">
        <v>29</v>
      </c>
      <c r="C16" s="5" t="s">
        <v>568</v>
      </c>
    </row>
    <row r="18" customFormat="false" ht="15" hidden="false" customHeight="false" outlineLevel="0" collapsed="false">
      <c r="B18" s="3" t="s">
        <v>569</v>
      </c>
      <c r="C18" s="3"/>
    </row>
    <row r="19" customFormat="false" ht="78" hidden="false" customHeight="true" outlineLevel="0" collapsed="false">
      <c r="B19" s="4" t="s">
        <v>570</v>
      </c>
      <c r="C19" s="5" t="s">
        <v>571</v>
      </c>
    </row>
    <row r="20" customFormat="false" ht="27.75" hidden="false" customHeight="true" outlineLevel="0" collapsed="false">
      <c r="B20" s="4" t="s">
        <v>572</v>
      </c>
      <c r="C20" s="5" t="s">
        <v>573</v>
      </c>
    </row>
  </sheetData>
  <mergeCells count="5">
    <mergeCell ref="A1:C1"/>
    <mergeCell ref="A2:C2"/>
    <mergeCell ref="B5:C5"/>
    <mergeCell ref="B8:C8"/>
    <mergeCell ref="B18:C18"/>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28"/>
  </cols>
  <sheetData>
    <row r="1" customFormat="false" ht="24" hidden="false" customHeight="true" outlineLevel="0" collapsed="false">
      <c r="A1" s="1" t="s">
        <v>574</v>
      </c>
      <c r="B1" s="1"/>
      <c r="C1" s="1"/>
      <c r="D1" s="1"/>
      <c r="E1" s="1"/>
      <c r="F1" s="1"/>
      <c r="G1" s="1"/>
      <c r="H1" s="1"/>
      <c r="I1" s="1"/>
      <c r="J1" s="1"/>
    </row>
    <row r="2" customFormat="false" ht="15" hidden="false" customHeight="false" outlineLevel="0" collapsed="false">
      <c r="A2" s="2" t="s">
        <v>575</v>
      </c>
      <c r="B2" s="2"/>
      <c r="C2" s="2"/>
      <c r="D2" s="2"/>
      <c r="E2" s="2"/>
      <c r="F2" s="2"/>
      <c r="G2" s="2"/>
      <c r="H2" s="2"/>
      <c r="I2" s="2"/>
      <c r="J2" s="2"/>
    </row>
    <row r="4" customFormat="false" ht="15" hidden="false" customHeight="false" outlineLevel="0" collapsed="false">
      <c r="A4" s="9" t="s">
        <v>576</v>
      </c>
      <c r="B4" s="9" t="s">
        <v>127</v>
      </c>
      <c r="C4" s="9" t="s">
        <v>577</v>
      </c>
      <c r="D4" s="9" t="s">
        <v>578</v>
      </c>
      <c r="E4" s="9" t="s">
        <v>579</v>
      </c>
      <c r="F4" s="9" t="s">
        <v>580</v>
      </c>
      <c r="G4" s="9" t="s">
        <v>432</v>
      </c>
      <c r="H4" s="9" t="s">
        <v>66</v>
      </c>
      <c r="I4" s="9" t="s">
        <v>80</v>
      </c>
      <c r="J4" s="9" t="s">
        <v>581</v>
      </c>
      <c r="K4" s="9" t="s">
        <v>582</v>
      </c>
      <c r="L4" s="9" t="s">
        <v>583</v>
      </c>
    </row>
    <row r="5" customFormat="false" ht="15" hidden="false" customHeight="false" outlineLevel="0" collapsed="false">
      <c r="A5" s="5" t="s">
        <v>584</v>
      </c>
      <c r="B5" s="5" t="s">
        <v>585</v>
      </c>
      <c r="C5" s="5" t="s">
        <v>192</v>
      </c>
      <c r="D5" s="5" t="s">
        <v>442</v>
      </c>
      <c r="E5" s="5" t="s">
        <v>586</v>
      </c>
      <c r="F5" s="5" t="s">
        <v>586</v>
      </c>
      <c r="G5" s="5" t="s">
        <v>587</v>
      </c>
      <c r="H5" s="5" t="s">
        <v>588</v>
      </c>
      <c r="I5" s="5" t="s">
        <v>589</v>
      </c>
      <c r="J5" s="5" t="s">
        <v>584</v>
      </c>
      <c r="K5" s="5" t="s">
        <v>590</v>
      </c>
      <c r="L5" s="5" t="s">
        <v>584</v>
      </c>
    </row>
    <row r="6" customFormat="false" ht="22.35" hidden="false" customHeight="false" outlineLevel="0" collapsed="false">
      <c r="A6" s="5" t="s">
        <v>591</v>
      </c>
      <c r="B6" s="5" t="s">
        <v>592</v>
      </c>
      <c r="C6" s="5" t="s">
        <v>178</v>
      </c>
      <c r="D6" s="5" t="s">
        <v>245</v>
      </c>
      <c r="E6" s="5" t="s">
        <v>593</v>
      </c>
      <c r="F6" s="5" t="s">
        <v>594</v>
      </c>
      <c r="G6" s="5" t="s">
        <v>595</v>
      </c>
      <c r="H6" s="5" t="s">
        <v>596</v>
      </c>
      <c r="I6" s="5" t="s">
        <v>597</v>
      </c>
      <c r="J6" s="5" t="s">
        <v>591</v>
      </c>
      <c r="K6" s="5" t="s">
        <v>42</v>
      </c>
      <c r="L6" s="5" t="s">
        <v>591</v>
      </c>
    </row>
    <row r="7" customFormat="false" ht="22.35" hidden="false" customHeight="false" outlineLevel="0" collapsed="false">
      <c r="A7" s="5" t="s">
        <v>598</v>
      </c>
      <c r="B7" s="5" t="s">
        <v>599</v>
      </c>
      <c r="C7" s="5" t="s">
        <v>136</v>
      </c>
      <c r="D7" s="5" t="s">
        <v>281</v>
      </c>
      <c r="E7" s="5" t="s">
        <v>600</v>
      </c>
      <c r="F7" s="5" t="s">
        <v>601</v>
      </c>
      <c r="G7" s="5" t="s">
        <v>602</v>
      </c>
      <c r="H7" s="5" t="s">
        <v>603</v>
      </c>
      <c r="I7" s="5" t="s">
        <v>604</v>
      </c>
      <c r="J7" s="5" t="s">
        <v>605</v>
      </c>
      <c r="K7" s="5" t="s">
        <v>44</v>
      </c>
      <c r="L7" s="5" t="s">
        <v>585</v>
      </c>
    </row>
    <row r="8" customFormat="false" ht="32.8" hidden="false" customHeight="false" outlineLevel="0" collapsed="false">
      <c r="B8" s="5" t="s">
        <v>606</v>
      </c>
      <c r="C8" s="5" t="s">
        <v>607</v>
      </c>
      <c r="D8" s="5" t="s">
        <v>608</v>
      </c>
      <c r="E8" s="5" t="s">
        <v>609</v>
      </c>
      <c r="F8" s="5" t="s">
        <v>610</v>
      </c>
      <c r="H8" s="5" t="s">
        <v>611</v>
      </c>
      <c r="I8" s="5" t="s">
        <v>612</v>
      </c>
      <c r="K8" s="5" t="s">
        <v>605</v>
      </c>
    </row>
    <row r="9" customFormat="false" ht="15" hidden="false" customHeight="false" outlineLevel="0" collapsed="false">
      <c r="C9" s="5" t="s">
        <v>613</v>
      </c>
      <c r="D9" s="5" t="s">
        <v>376</v>
      </c>
      <c r="E9" s="5" t="s">
        <v>614</v>
      </c>
      <c r="F9" s="5" t="s">
        <v>615</v>
      </c>
      <c r="I9" s="5" t="s">
        <v>616</v>
      </c>
    </row>
    <row r="10" customFormat="false" ht="22.35" hidden="false" customHeight="false" outlineLevel="0" collapsed="false">
      <c r="C10" s="5" t="s">
        <v>605</v>
      </c>
      <c r="D10" s="5" t="s">
        <v>453</v>
      </c>
      <c r="E10" s="5" t="s">
        <v>617</v>
      </c>
      <c r="F10" s="5" t="s">
        <v>618</v>
      </c>
    </row>
    <row r="11" customFormat="false" ht="15" hidden="false" customHeight="false" outlineLevel="0" collapsed="false">
      <c r="D11" s="5" t="s">
        <v>619</v>
      </c>
      <c r="E11" s="5" t="s">
        <v>620</v>
      </c>
    </row>
    <row r="12" customFormat="false" ht="22.35" hidden="false" customHeight="false" outlineLevel="0" collapsed="false">
      <c r="D12" s="5" t="s">
        <v>621</v>
      </c>
      <c r="E12" s="5" t="s">
        <v>622</v>
      </c>
    </row>
    <row r="13" customFormat="false" ht="22.35" hidden="false" customHeight="false" outlineLevel="0" collapsed="false">
      <c r="D13" s="5" t="s">
        <v>455</v>
      </c>
      <c r="E13" s="5" t="s">
        <v>623</v>
      </c>
    </row>
    <row r="14" customFormat="false" ht="15" hidden="false" customHeight="false" outlineLevel="0" collapsed="false">
      <c r="D14" s="5" t="s">
        <v>605</v>
      </c>
    </row>
  </sheetData>
  <mergeCells count="2">
    <mergeCell ref="A1:J1"/>
    <mergeCell ref="A2:J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&amp;LEU AI Act — Arbeitshilfe · Rechtsstand 29.07.2026 · keine Rechtsberatung&amp;RSeite &amp;P von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2026-07-29T11:46:08Z</dcterms:created>
  <dc:creator>openpyxl</dc:creator>
  <dc:description/>
  <dc:language>en-US</dc:language>
  <cp:lastModifiedBy/>
  <dcterms:modified xsi:type="dcterms:W3CDTF">2026-07-29T11:46:08Z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