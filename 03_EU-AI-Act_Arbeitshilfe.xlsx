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00_Anleitung" sheetId="1" state="visible" r:id="rId3"/>
    <sheet name="01_KI-Inventar" sheetId="2" state="visible" r:id="rId4"/>
    <sheet name="02_Rollen-Check" sheetId="3" state="visible" r:id="rId5"/>
    <sheet name="03_Risiko-Einstufung" sheetId="4" state="visible" r:id="rId6"/>
    <sheet name="04_Pflichten-Matrix" sheetId="5" state="visible" r:id="rId7"/>
    <sheet name="05_Maßnahmenplan" sheetId="6" state="visible" r:id="rId8"/>
    <sheet name="06_Dashboard" sheetId="7" state="visible" r:id="rId9"/>
    <sheet name="07_Quellen" sheetId="8" state="visible" r:id="rId10"/>
    <sheet name="08_Register" sheetId="9" state="visible" r:id="rId11"/>
  </sheets>
  <definedNames>
    <definedName function="false" hidden="false" localSheetId="1" name="_xlnm.Print_Titles" vbProcedure="false">'01_KI-Inventar'!$5:$5</definedName>
    <definedName function="false" hidden="false" localSheetId="2" name="_xlnm.Print_Titles" vbProcedure="false">'02_Rollen-Check'!$5:$5</definedName>
    <definedName function="false" hidden="false" localSheetId="3" name="_xlnm.Print_Titles" vbProcedure="false">'03_Risiko-Einstufung'!$5:$5</definedName>
    <definedName function="false" hidden="false" localSheetId="4" name="_xlnm.Print_Titles" vbProcedure="false">'04_Pflichten-Matrix'!$5:$5</definedName>
    <definedName function="false" hidden="true" localSheetId="4" name="_xlnm._FilterDatabase" vbProcedure="false">'04_Pflichten-Matrix'!$A$5:$N$92</definedName>
    <definedName function="false" hidden="false" localSheetId="5" name="_xlnm.Print_Titles" vbProcedure="false">'05_Maßnahmenplan'!$5:$5</definedName>
    <definedName function="false" hidden="false" localSheetId="7" name="_xlnm.Print_Titles" vbProcedure="false">'07_Quellen'!$5:$5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Die IDs sind vorbelegt. Auf den Blättern 02, 03 und 05 wählen Sie diese ID per Dropdown aus.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BEISPIELZEILE — bitte überschreiben oder löschen, bevor Sie mit echten Daten arbeiten.</t>
        </r>
      </text>
    </comment>
    <comment ref="G5" authorId="0">
      <text>
        <r>
          <rPr>
            <sz val="10"/>
            <rFont val="Arial"/>
            <family val="2"/>
          </rPr>
          <t xml:space="preserve">Achtung: Der Ausnahmefilter greift nur, wenn zusätzlich KEIN erhebliches Risiko für Gesundheit, Sicherheit oder Grundrechte besteht. Bei Profiling ist er immer ausgeschlossen (Art. 6 Abs. 3 UAbs. 3). Die Bewertung ist VOR Inverkehrbringen zu dokumentieren (Art. 6 Abs. 4).</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BEISPIELZEILE — bitte überschreiben oder löschen.</t>
        </r>
      </text>
    </comment>
  </commentList>
</comments>
</file>

<file path=xl/sharedStrings.xml><?xml version="1.0" encoding="utf-8"?>
<sst xmlns="http://schemas.openxmlformats.org/spreadsheetml/2006/main" count="948" uniqueCount="559">
  <si>
    <t xml:space="preserve">EU AI Act — Arbeitshilfe zur Umsetzung</t>
  </si>
  <si>
    <t xml:space="preserve">Rechtsstand: 29.07.2026 · Verordnung (EU) 2024/1689 in der Fassung der Verordnung (EU) 2026/1744 (Digital Omnibus, in Kraft seit 27.07.2026)</t>
  </si>
  <si>
    <t xml:space="preserve">Wichtiger Hinweis</t>
  </si>
  <si>
    <t xml:space="preserve">Keine Rechtsberatung</t>
  </si>
  <si>
    <t xml:space="preserve">Diese Arbeitshilfe ist ein Strukturierungswerkzeug, keine Rechtsberatung. Ob eine Pflicht im konkreten Fall greift, hängt von Umständen ab, die hier nicht bekannt sind. Die automatischen Einstufungen auf Blatt 03 sind Vorschläge auf Basis Ihrer Eingaben und ersetzen keine juristische Prüfung.</t>
  </si>
  <si>
    <t xml:space="preserve">Rechtsstand prüfen</t>
  </si>
  <si>
    <t xml:space="preserve">Stand dieser Datei: 29.07.2026. Die KI-Verordnung wurde zuletzt am 24.07.2026 geändert (VO (EU) 2026/1744, in Kraft seit 27.07.2026). Prüfen Sie vor jeder Nutzung, ob ein neuerer Stand vorliegt. Alle Fundstellen und Quellen finden Sie auf Blatt 07_Quellen.</t>
  </si>
  <si>
    <t xml:space="preserve">So arbeiten Sie mit der Datei</t>
  </si>
  <si>
    <t xml:space="preserve">Farbcode</t>
  </si>
  <si>
    <t xml:space="preserve">GELB hinterlegte Zellen sind Eingabefelder — hier tragen Sie ein. GRAUE Zellen sind vorgegeben oder berechnet und sollten nicht verändert werden; auf Blatt 04 enthalten sie den Pflichtenkatalog (Spalten A–G) und die Ampel-Formel (Spalte N). Blaue Kopfzeilen kennzeichnen Spaltenüberschriften.</t>
  </si>
  <si>
    <t xml:space="preserve">Reihenfolge</t>
  </si>
  <si>
    <t xml:space="preserve">1. Blatt 01 KI-Inventar füllen (jedes System eine Zeile).  2. Blatt 02 Rollen-Check je System beantworten.  3. Blatt 03 Risiko-Einstufung je System beantworten.  4. Blatt 04 Pflichten-Matrix durchgehen und Relevanz sowie Status setzen.  5. Lücken in Blatt 05 Maßnahmenplan überführen.  6. Blatt 06 Dashboard zeigt den Stand.</t>
  </si>
  <si>
    <t xml:space="preserve">Beispielzeile</t>
  </si>
  <si>
    <t xml:space="preserve">Zeile 6 der Blätter 01, 02, 03 und 05 enthält jeweils ein ausgefülltes Beispiel. Bitte überschreiben oder löschen Sie diese Zeile, bevor Sie mit echten Daten arbeiten.</t>
  </si>
  <si>
    <t xml:space="preserve">System-IDs</t>
  </si>
  <si>
    <t xml:space="preserve">Die IDs (KI-001 ff.) werden auf Blatt 01 vergeben und auf den Blättern 02, 03 und 05 per Dropdown ausgewählt. Die Bezeichnung wird dann automatisch übernommen.</t>
  </si>
  <si>
    <t xml:space="preserve">Aufbau der Datei</t>
  </si>
  <si>
    <t xml:space="preserve">01_KI-Inventar</t>
  </si>
  <si>
    <t xml:space="preserve">Alle im Unternehmen eingesetzten oder geplanten KI-Systeme. Grundlage für alles Weitere.</t>
  </si>
  <si>
    <t xml:space="preserve">02_Rollen-Check</t>
  </si>
  <si>
    <t xml:space="preserve">Bestimmt je System, ob Sie Anbieter, Betreiber oder beides sind — inkl. Rollenwechsel nach Art. 25.</t>
  </si>
  <si>
    <t xml:space="preserve">03_Risiko-Einstufung</t>
  </si>
  <si>
    <t xml:space="preserve">Führt je System durch die Prüfkette: verboten → Hochrisiko → Transparenz → gering. Ergibt Risikoklasse und Frist.</t>
  </si>
  <si>
    <t xml:space="preserve">04_Pflichten-Matrix</t>
  </si>
  <si>
    <t xml:space="preserve">Katalog der Pflichten mit Fundstelle, Rolle, Risikoklasse und Frist. Hier tragen Sie Relevanz, Status und Verantwortliche ein.</t>
  </si>
  <si>
    <t xml:space="preserve">05_Maßnahmenplan</t>
  </si>
  <si>
    <t xml:space="preserve">Offene Punkte aus Blatt 04 mit Maßnahme, Termin und Fortschritt.</t>
  </si>
  <si>
    <t xml:space="preserve">06_Dashboard</t>
  </si>
  <si>
    <t xml:space="preserve">Auswertung: Anzahl Systeme je Klasse, Erfüllungsgrad, kritische Fristen.</t>
  </si>
  <si>
    <t xml:space="preserve">07_Quellen</t>
  </si>
  <si>
    <t xml:space="preserve">Fundstellenregister mit Links — damit jede Angabe nachprüfbar bleibt.</t>
  </si>
  <si>
    <t xml:space="preserve">08_Register</t>
  </si>
  <si>
    <t xml:space="preserve">Auswahllisten für die Dropdown-Felder. Nur ändern, wenn Sie die Systematik anpassen wollen.</t>
  </si>
  <si>
    <t xml:space="preserve">Die wichtigsten Fristen</t>
  </si>
  <si>
    <t xml:space="preserve">gilt bereits</t>
  </si>
  <si>
    <t xml:space="preserve">02.02.2025 KI-Kompetenz (Art. 4) und verbotene Praktiken (Art. 5) · 02.08.2025 GPAI-Pflichten, Governance, Sanktionen</t>
  </si>
  <si>
    <t xml:space="preserve">02.08.2026</t>
  </si>
  <si>
    <t xml:space="preserve">Allgemeiner Geltungsbeginn — insbesondere Transparenzpflichten nach Art. 50</t>
  </si>
  <si>
    <t xml:space="preserve">02.12.2026</t>
  </si>
  <si>
    <t xml:space="preserve">Neue Verbote NCII und CSAM (Art. 5 Abs. 1 lit. ba und bb) · Kennzeichnungspflicht für generative Bestandssysteme (Art. 50 Abs. 2 i. V. m. Art. 111 Abs. 4)</t>
  </si>
  <si>
    <t xml:space="preserve">02.12.2027</t>
  </si>
  <si>
    <t xml:space="preserve">Pflichten für Hochrisiko-KI nach Anhang III (eigenständige Systeme)</t>
  </si>
  <si>
    <t xml:space="preserve">02.08.2028</t>
  </si>
  <si>
    <t xml:space="preserve">Pflichten für Hochrisiko-KI nach Anhang I Abschnitt A. Für Anhang I Abschnitt B (u. a. Maschinen, Kfz, Eisenbahn) gilt Kapitel III nicht — dort greift das Sektorrecht (Art. 2 Abs. 2 n. F.)</t>
  </si>
  <si>
    <t xml:space="preserve">02.08.2027</t>
  </si>
  <si>
    <t xml:space="preserve">GPAI-Modelle, die vor dem 02.08.2025 in Verkehr gebracht wurden, müssen konform sein (Art. 111 Abs. 3); KI-Reallabore einsatzbereit</t>
  </si>
  <si>
    <t xml:space="preserve">02.08.2030 / 31.12.2030</t>
  </si>
  <si>
    <t xml:space="preserve">Hochrisiko-Bestandssysteme in Behördennutzung (Art. 111 Abs. 2) bzw. KI in IT-Großsystemen nach Anhang X (Art. 111 Abs. 1)</t>
  </si>
  <si>
    <t xml:space="preserve">Bestandsschutz</t>
  </si>
  <si>
    <t xml:space="preserve">Hochrisiko-Systeme, die vor dem jeweiligen Geltungsbeginn in Verkehr gebracht wurden, unterliegen der Verordnung nur bei erheblicher Änderung der Konzeption. Maßgeblich sind Art und Modell des Systems; entscheidend ist das Datum der ersten Einheit (Art. 111 Abs. 2 n. F., ErwG 39).</t>
  </si>
  <si>
    <t xml:space="preserve">Angaben zu Ihrem Unternehmen</t>
  </si>
  <si>
    <t xml:space="preserve">Unternehmensgröße</t>
  </si>
  <si>
    <t xml:space="preserve">Steuert die Erleichterungen nach Art. 11 Abs. 1 UAbs. 2 und Art. 63 Abs. 1 n. F. sowie die Bußgeld-Deckelung nach Art. 99 Abs. 6 (KMU: Absätze 3, 4 und 5) bzw. Abs. 6a n. F. (kleine Midcaps: nur Absätze 4 und 5 — bei Art. 5 gilt für sie KEINE Deckelung).</t>
  </si>
  <si>
    <t xml:space="preserve">Sind wir Anbieter eines KI-Modells mit allgemeinem Verwendungszweck (GPAI)?</t>
  </si>
  <si>
    <t xml:space="preserve">Wenn ja: Die Zeilen G.1 bis G.5 der Pflichten-Matrix sind unabhängig von der Einstufung einzelner Systeme zu prüfen (Art. 51 bis 55). Diese Pflichten gelten bereits seit 02.08.2025.</t>
  </si>
  <si>
    <t xml:space="preserve">Sind wir Einführer oder Händler von KI-Systemen?</t>
  </si>
  <si>
    <t xml:space="preserve">Wenn ja: zusätzliche Pflichtenkreise nach Art. 23 und Art. 24, die in dieser Arbeitshilfe nur als Hinweis (Zeile D.28) enthalten sind.</t>
  </si>
  <si>
    <t xml:space="preserve">01 — KI-Inventar</t>
  </si>
  <si>
    <t xml:space="preserve">Jede Zeile ein KI-System. Auch KI, die in eingekaufter Software eingebettet ist, gehört hierher. Zeile 6 ist ein Beispiel — bitte überschreiben.</t>
  </si>
  <si>
    <t xml:space="preserve">System-ID</t>
  </si>
  <si>
    <t xml:space="preserve">Bezeichnung</t>
  </si>
  <si>
    <t xml:space="preserve">Anbieter / Hersteller</t>
  </si>
  <si>
    <t xml:space="preserve">Zweck und Anwendungsfall</t>
  </si>
  <si>
    <t xml:space="preserve">Fachbereich</t>
  </si>
  <si>
    <t xml:space="preserve">Verarbeitete Datenarten</t>
  </si>
  <si>
    <t xml:space="preserve">Personenbezug</t>
  </si>
  <si>
    <t xml:space="preserve">Einsatzstatus</t>
  </si>
  <si>
    <t xml:space="preserve">Fachlich verantwortlich</t>
  </si>
  <si>
    <t xml:space="preserve">Vertrag / Bezugsquelle</t>
  </si>
  <si>
    <t xml:space="preserve">Bemerkung</t>
  </si>
  <si>
    <t xml:space="preserve">KI-001</t>
  </si>
  <si>
    <t xml:space="preserve">Bewerber-Vorauswahl (Beispiel)</t>
  </si>
  <si>
    <t xml:space="preserve">Muster GmbH</t>
  </si>
  <si>
    <t xml:space="preserve">Sichtung und Vorsortierung eingehender Bewerbungen</t>
  </si>
  <si>
    <t xml:space="preserve">Personal</t>
  </si>
  <si>
    <t xml:space="preserve">Bewerbungsunterlagen, Lebenslaufdaten</t>
  </si>
  <si>
    <t xml:space="preserve">ja – sonstige Betroffene</t>
  </si>
  <si>
    <t xml:space="preserve">geplant</t>
  </si>
  <si>
    <t xml:space="preserve">Leitung Personal</t>
  </si>
  <si>
    <t xml:space="preserve">Rahmenvertrag 2026-014</t>
  </si>
  <si>
    <t xml:space="preserve">BEISPIELZEILE — bitte überschreiben</t>
  </si>
  <si>
    <t xml:space="preserve">02 — Rollen-Check (Anbieter oder Betreiber?)</t>
  </si>
  <si>
    <t xml:space="preserve">Je System beantworten. Achtung Art. 25: Eigenlabeling, wesentliche Veränderung oder Zweckänderung machen aus einem Betreiber einen Anbieter — mit allen Pflichten nach Art. 16.</t>
  </si>
  <si>
    <t xml:space="preserve">Bezeichnung (autom.)</t>
  </si>
  <si>
    <t xml:space="preserve">Entwickeln wir es (oder lassen entwickeln) und bringen es unter eigenem Namen in Verkehr / nehmen es in Betrieb?
Art. 3 Nr. 3</t>
  </si>
  <si>
    <t xml:space="preserve">Verwenden wir es in eigener beruflicher Verantwortung?
Art. 3 Nr. 4</t>
  </si>
  <si>
    <t xml:space="preserve">Eigenlabeling auf fremdem Hochrisiko-System?
Art. 25 Abs. 1 lit. a</t>
  </si>
  <si>
    <t xml:space="preserve">Wesentliche Veränderung eines Hochrisiko-Systems?
Art. 25 Abs. 1 lit. b</t>
  </si>
  <si>
    <t xml:space="preserve">Zweckänderung, die zum Hochrisiko-System führt?
Art. 25 Abs. 1 lit. c</t>
  </si>
  <si>
    <t xml:space="preserve">Bringen wir es als Produkthersteller mit unserem Produkt unter eigenem Namen in Verkehr?
Art. 25 Abs. 3</t>
  </si>
  <si>
    <t xml:space="preserve">Ergebnis: Rolle (autom.)</t>
  </si>
  <si>
    <t xml:space="preserve">Hinweis (autom.)</t>
  </si>
  <si>
    <t xml:space="preserve">Geprüft am</t>
  </si>
  <si>
    <t xml:space="preserve">Geprüft von</t>
  </si>
  <si>
    <t xml:space="preserve">Nein</t>
  </si>
  <si>
    <t xml:space="preserve">Ja</t>
  </si>
  <si>
    <t xml:space="preserve">03 — Risiko-Einstufung</t>
  </si>
  <si>
    <t xml:space="preserve">Prüfkette in dieser Reihenfolge: verboten (Art. 5) → Hochrisiko Anhang I → Hochrisiko Anhang III → Transparenz (Art. 50) → geringes Risiko. Das Ergebnis ist ein Vorschlag, keine Rechtsprüfung.</t>
  </si>
  <si>
    <t xml:space="preserve">Verbotene Praktik nach Art. 5?
(inkl. NCII/CSAM ab 02.12.2026)</t>
  </si>
  <si>
    <t xml:space="preserve">Anhang I: Sicherheitsbauteil eines drittkonformitätsbewerteten Produkts ODER selbst ein solches Produkt?
Art. 6 Abs. 1 lit. a und b, Art. 3 Nr. 14 n. F.</t>
  </si>
  <si>
    <t xml:space="preserve">Anhang III: Anwendungsbereich?
Art. 6 Abs. 2</t>
  </si>
  <si>
    <t xml:space="preserve">Profiling natürlicher Personen?
Art. 6 Abs. 3 UAbs. 3</t>
  </si>
  <si>
    <t xml:space="preserve">Ausnahmefilter Art. 6 Abs. 3 erfüllt?
(a–d und kein erhebliches Risiko)</t>
  </si>
  <si>
    <t xml:space="preserve">Transparenzfall nach Art. 50?</t>
  </si>
  <si>
    <t xml:space="preserve">Ergebnis: Risikoklasse (autom.)</t>
  </si>
  <si>
    <t xml:space="preserve">Anwendbar ab (autom.)</t>
  </si>
  <si>
    <t xml:space="preserve">Registrierung EU-Datenbank (autom.)</t>
  </si>
  <si>
    <t xml:space="preserve">Zusätzlich Art. 50 (autom.)</t>
  </si>
  <si>
    <t xml:space="preserve">Begründung / Dokumentation der Bewertung</t>
  </si>
  <si>
    <t xml:space="preserve">4 Beschäftigung</t>
  </si>
  <si>
    <t xml:space="preserve">keiner</t>
  </si>
  <si>
    <t xml:space="preserve">BEISPIELZEILE — bitte überschreiben. Vorsortierung von Bewerbungen, Anhang III Nr. 4 lit. a; Profiling → Ausnahmefilter ausgeschlossen</t>
  </si>
  <si>
    <t xml:space="preserve">04 — Pflichten-Matrix</t>
  </si>
  <si>
    <t xml:space="preserve">Katalog der Pflichten mit Fundstelle, Rolle, Risikoklasse und Frist. Spalten H bis M sind Ihre Eingabefelder; die Ampel in Spalte N berechnet sich daraus. WICHTIG: Dieser Katalog gilt für das Unternehmen als Ganzes. Wenn Sie Systeme mit unterschiedlicher Rolle oder Risikoklasse betreiben, legen Sie je System eine Kopie dieses Blattes an.</t>
  </si>
  <si>
    <t xml:space="preserve">Nr.</t>
  </si>
  <si>
    <t xml:space="preserve">Bereich</t>
  </si>
  <si>
    <t xml:space="preserve">Pflicht</t>
  </si>
  <si>
    <t xml:space="preserve">Fundstelle</t>
  </si>
  <si>
    <t xml:space="preserve">Gilt für Rolle</t>
  </si>
  <si>
    <t xml:space="preserve">Gilt für Risikoklasse</t>
  </si>
  <si>
    <t xml:space="preserve">Anwendbar ab</t>
  </si>
  <si>
    <t xml:space="preserve">Relevant für uns?</t>
  </si>
  <si>
    <t xml:space="preserve">Status</t>
  </si>
  <si>
    <t xml:space="preserve">Verantwortlich</t>
  </si>
  <si>
    <t xml:space="preserve">Fällig bis</t>
  </si>
  <si>
    <t xml:space="preserve">Nachweisdokument</t>
  </si>
  <si>
    <t xml:space="preserve">Ampel (autom.)</t>
  </si>
  <si>
    <t xml:space="preserve">D.1</t>
  </si>
  <si>
    <t xml:space="preserve">Querschnitt</t>
  </si>
  <si>
    <t xml:space="preserve">Maßnahmen ergreifen, um die Entwicklung der KI-Kompetenz des Personals zu unterstützen</t>
  </si>
  <si>
    <t xml:space="preserve">Art. 4 Abs. 1 n. F.</t>
  </si>
  <si>
    <t xml:space="preserve">Anbieter und Betreiber</t>
  </si>
  <si>
    <t xml:space="preserve">alle</t>
  </si>
  <si>
    <t xml:space="preserve">gilt seit 02.02.2025</t>
  </si>
  <si>
    <t xml:space="preserve">D.2</t>
  </si>
  <si>
    <t xml:space="preserve">Auch Personen einbeziehen, die im Auftrag mit Betrieb und Nutzung befasst sind (Dienstleister, Leiharbeit, Freelancer)</t>
  </si>
  <si>
    <t xml:space="preserve">D.3</t>
  </si>
  <si>
    <t xml:space="preserve">Schulungsmaßnahmen und Teilnahme dokumentieren</t>
  </si>
  <si>
    <t xml:space="preserve">laufend</t>
  </si>
  <si>
    <t xml:space="preserve">D.4</t>
  </si>
  <si>
    <t xml:space="preserve">Verbote</t>
  </si>
  <si>
    <t xml:space="preserve">Keine unterschwellige Beeinflussung / Manipulation mit erheblichem Schadenspotenzial</t>
  </si>
  <si>
    <t xml:space="preserve">Art. 5 Abs. 1 lit. a</t>
  </si>
  <si>
    <t xml:space="preserve">D.5</t>
  </si>
  <si>
    <t xml:space="preserve">Keine Ausnutzung von Schutzbedürftigkeit (Alter, Behinderung, soziale/wirtschaftliche Lage)</t>
  </si>
  <si>
    <t xml:space="preserve">Art. 5 Abs. 1 lit. b</t>
  </si>
  <si>
    <t xml:space="preserve">D.6</t>
  </si>
  <si>
    <t xml:space="preserve">Kein Social Scoring</t>
  </si>
  <si>
    <t xml:space="preserve">Art. 5 Abs. 1 lit. c</t>
  </si>
  <si>
    <t xml:space="preserve">D.7</t>
  </si>
  <si>
    <t xml:space="preserve">Keine Straftatprognose allein aus Profiling oder Persönlichkeitsmerkmalen</t>
  </si>
  <si>
    <t xml:space="preserve">Art. 5 Abs. 1 lit. d</t>
  </si>
  <si>
    <t xml:space="preserve">D.8</t>
  </si>
  <si>
    <t xml:space="preserve">Kein ungezieltes Scraping von Gesichtsbildern zum Aufbau von Erkennungsdatenbanken</t>
  </si>
  <si>
    <t xml:space="preserve">Art. 5 Abs. 1 lit. e</t>
  </si>
  <si>
    <t xml:space="preserve">D.9</t>
  </si>
  <si>
    <t xml:space="preserve">Keine Emotionserkennung am Arbeitsplatz oder in Bildungseinrichtungen (außer medizinische/Sicherheitsgründe)</t>
  </si>
  <si>
    <t xml:space="preserve">Art. 5 Abs. 1 lit. f</t>
  </si>
  <si>
    <t xml:space="preserve">D.10</t>
  </si>
  <si>
    <t xml:space="preserve">Keine biometrische Kategorisierung nach sensiblen Merkmalen</t>
  </si>
  <si>
    <t xml:space="preserve">Art. 5 Abs. 1 lit. g</t>
  </si>
  <si>
    <t xml:space="preserve">D.11</t>
  </si>
  <si>
    <t xml:space="preserve">Keine biometrische Echtzeit-Fernidentifizierung im öffentlichen Raum zu Strafverfolgungszwecken</t>
  </si>
  <si>
    <t xml:space="preserve">Art. 5 Abs. 1 lit. h</t>
  </si>
  <si>
    <t xml:space="preserve">D.12</t>
  </si>
  <si>
    <t xml:space="preserve">NEU: Keine Erzeugung/Manipulation nicht-einvernehmlicher intimer Darstellungen (NCII)</t>
  </si>
  <si>
    <t xml:space="preserve">Art. 5 Abs. 1 lit. ba n. F.</t>
  </si>
  <si>
    <t xml:space="preserve">D.13</t>
  </si>
  <si>
    <t xml:space="preserve">NEU: Keine Erzeugung/Manipulation von Material i. S. v. Art. 2 lit. c und e RL 2011/93/EU (CSAM)</t>
  </si>
  <si>
    <t xml:space="preserve">Art. 5 Abs. 1 lit. bb n. F.</t>
  </si>
  <si>
    <t xml:space="preserve">D.14</t>
  </si>
  <si>
    <t xml:space="preserve">Anbieter generativer Systeme: zumutbare und angemessene technische Schutzmaßnahmen gegen absehbaren/reproduzierbaren Missbrauch</t>
  </si>
  <si>
    <t xml:space="preserve">Art. 5 Abs. 1a n. F.</t>
  </si>
  <si>
    <t xml:space="preserve">Anbieter</t>
  </si>
  <si>
    <t xml:space="preserve">D.15</t>
  </si>
  <si>
    <t xml:space="preserve">Transparenz</t>
  </si>
  <si>
    <t xml:space="preserve">Systeme mit direkter Interaktion so gestalten, dass die KI-Interaktion erkennbar ist</t>
  </si>
  <si>
    <t xml:space="preserve">Art. 50 Abs. 1</t>
  </si>
  <si>
    <t xml:space="preserve">D.16</t>
  </si>
  <si>
    <t xml:space="preserve">Synthetische Audio-, Bild-, Video- und Textinhalte maschinenlesbar kennzeichnen</t>
  </si>
  <si>
    <t xml:space="preserve">Art. 50 Abs. 2</t>
  </si>
  <si>
    <t xml:space="preserve">D.17</t>
  </si>
  <si>
    <t xml:space="preserve">Bestandssysteme (in Verkehr vor 02.08.2026): Kennzeichnung nach Art. 50 Abs. 2 nachrüsten</t>
  </si>
  <si>
    <t xml:space="preserve">Art. 111 Abs. 4 n. F.</t>
  </si>
  <si>
    <t xml:space="preserve">D.18</t>
  </si>
  <si>
    <t xml:space="preserve">Bei Emotionserkennung / biometrischer Kategorisierung: betroffene Personen informieren</t>
  </si>
  <si>
    <t xml:space="preserve">Art. 50 Abs. 3</t>
  </si>
  <si>
    <t xml:space="preserve">Betreiber</t>
  </si>
  <si>
    <t xml:space="preserve">D.19</t>
  </si>
  <si>
    <t xml:space="preserve">Deepfakes offenlegen (bei Kunst/Satire: geeignete, werkschonende Offenlegung)</t>
  </si>
  <si>
    <t xml:space="preserve">Art. 50 Abs. 4 S. 1 und 3</t>
  </si>
  <si>
    <t xml:space="preserve">D.20</t>
  </si>
  <si>
    <t xml:space="preserve">KI-Texte zu Angelegenheiten öffentlichen Interesses offenlegen (außer bei redaktioneller Verantwortung)</t>
  </si>
  <si>
    <t xml:space="preserve">Art. 50 Abs. 4 S. 4–5</t>
  </si>
  <si>
    <t xml:space="preserve">D.21</t>
  </si>
  <si>
    <t xml:space="preserve">Information spätestens bei der ersten Interaktion, klar, eindeutig und barrierefrei</t>
  </si>
  <si>
    <t xml:space="preserve">Art. 50 Abs. 5</t>
  </si>
  <si>
    <t xml:space="preserve">D.22</t>
  </si>
  <si>
    <t xml:space="preserve">Organisation</t>
  </si>
  <si>
    <t xml:space="preserve">KI-Inventar aufbauen und laufend pflegen</t>
  </si>
  <si>
    <t xml:space="preserve">Voraussetzung aller Pflichten</t>
  </si>
  <si>
    <t xml:space="preserve">D.23</t>
  </si>
  <si>
    <t xml:space="preserve">Rolle und Risikoklasse je System bestimmen und dokumentieren</t>
  </si>
  <si>
    <t xml:space="preserve">Art. 3 Nrn. 3, 4; Art. 6</t>
  </si>
  <si>
    <t xml:space="preserve">D.24</t>
  </si>
  <si>
    <t xml:space="preserve">Interne KI-Richtlinie erlassen (zulässige Nutzung, Freigabeprozess, Verbote, Meldewege)</t>
  </si>
  <si>
    <t xml:space="preserve">Organisationspflicht</t>
  </si>
  <si>
    <t xml:space="preserve">D.25</t>
  </si>
  <si>
    <t xml:space="preserve">Lieferantenverträge prüfen: Rollenabgrenzung, Informations- und Mitwirkungspflichten, Zugang zu Doku und Protokollen</t>
  </si>
  <si>
    <t xml:space="preserve">Art. 25 Abs. 2 n. F., Art. 26</t>
  </si>
  <si>
    <t xml:space="preserve">D.26</t>
  </si>
  <si>
    <t xml:space="preserve">Mitbestimmung prüfen (Betriebsrat, nationale Beteiligungsrechte)</t>
  </si>
  <si>
    <t xml:space="preserve">Art. 2 Abs. 11, Art. 26 Abs. 7 S. 2</t>
  </si>
  <si>
    <t xml:space="preserve">vor Einführung</t>
  </si>
  <si>
    <t xml:space="preserve">D.27</t>
  </si>
  <si>
    <t xml:space="preserve">Beschwerdeeingänge über die Marktüberwachungsbehörde einplanen (jede Person kann Beschwerde einlegen)</t>
  </si>
  <si>
    <t xml:space="preserve">Art. 85</t>
  </si>
  <si>
    <t xml:space="preserve">D.28</t>
  </si>
  <si>
    <t xml:space="preserve">Prüfen, ob wir zusätzlich Einführer oder Händler sind — eigene Pflichtenkreise</t>
  </si>
  <si>
    <t xml:space="preserve">Art. 23, Art. 24</t>
  </si>
  <si>
    <t xml:space="preserve">Einführer / Händler</t>
  </si>
  <si>
    <t xml:space="preserve">Hochrisiko</t>
  </si>
  <si>
    <t xml:space="preserve">02.12.2027 / 02.08.2028</t>
  </si>
  <si>
    <t xml:space="preserve">D.29</t>
  </si>
  <si>
    <t xml:space="preserve">Bestandssysteme: Anwendbarkeit nach Art. 111 prüfen (Stichtag dynamisch; maßgeblich sind Art und Modell, ErwG 39 der VO 2026/1744)</t>
  </si>
  <si>
    <t xml:space="preserve">Art. 111 Abs. 1–4 n. F.</t>
  </si>
  <si>
    <t xml:space="preserve">D.30</t>
  </si>
  <si>
    <t xml:space="preserve">Datenschutz</t>
  </si>
  <si>
    <t xml:space="preserve">n. F.: Verarbeitung besonderer Datenkategorien zur Bias-Erkennung nur unter den kumulativen Bedingungen des Art. 4a Abs. 1 lit. a–f (Art. 10 Abs. 5 a. F. gestrichen); keine Pflicht zur Bias-Prüfung</t>
  </si>
  <si>
    <t xml:space="preserve">Art. 4a n. F.</t>
  </si>
  <si>
    <t xml:space="preserve">A.1</t>
  </si>
  <si>
    <t xml:space="preserve">Technische und organisatorische Maßnahmen zur Verwendung gemäß Betriebsanleitung</t>
  </si>
  <si>
    <t xml:space="preserve">Art. 26 Abs. 1</t>
  </si>
  <si>
    <t xml:space="preserve">A.2</t>
  </si>
  <si>
    <t xml:space="preserve">Menschliche Aufsicht natürlichen Personen mit Kompetenz, Ausbildung UND Befugnis übertragen</t>
  </si>
  <si>
    <t xml:space="preserve">Art. 26 Abs. 2</t>
  </si>
  <si>
    <t xml:space="preserve">A.3</t>
  </si>
  <si>
    <t xml:space="preserve">Aufsichtführenden die erforderliche Unterstützung (Zeit, Werkzeuge, Zugriff) bereitstellen</t>
  </si>
  <si>
    <t xml:space="preserve">A.4</t>
  </si>
  <si>
    <t xml:space="preserve">Eingabedaten entsprechen der Zweckbestimmung und sind ausreichend repräsentativ</t>
  </si>
  <si>
    <t xml:space="preserve">Art. 26 Abs. 4</t>
  </si>
  <si>
    <t xml:space="preserve">A.5</t>
  </si>
  <si>
    <t xml:space="preserve">Betrieb anhand der Betriebsanleitung überwachen</t>
  </si>
  <si>
    <t xml:space="preserve">Art. 26 Abs. 5 S. 1</t>
  </si>
  <si>
    <t xml:space="preserve">A.6</t>
  </si>
  <si>
    <t xml:space="preserve">Bei Risiko i. S. d. Art. 79 Abs. 1: unverzüglich melden UND Verwendung aussetzen</t>
  </si>
  <si>
    <t xml:space="preserve">Art. 26 Abs. 5 S. 2</t>
  </si>
  <si>
    <t xml:space="preserve">A.7</t>
  </si>
  <si>
    <t xml:space="preserve">Bei schwerwiegendem Vorfall: zuerst Anbieter, dann Einführer/Händler und Marktüberwachungsbehörden informieren</t>
  </si>
  <si>
    <t xml:space="preserve">Art. 26 Abs. 5 S. 3</t>
  </si>
  <si>
    <t xml:space="preserve">A.8</t>
  </si>
  <si>
    <t xml:space="preserve">Protokolle aufbewahren — angemessener Zeitraum, mindestens sechs Monate</t>
  </si>
  <si>
    <t xml:space="preserve">Art. 26 Abs. 6</t>
  </si>
  <si>
    <t xml:space="preserve">A.9</t>
  </si>
  <si>
    <t xml:space="preserve">Vor Einsatz am Arbeitsplatz: Arbeitnehmervertreter UND betroffene Beschäftigte informieren</t>
  </si>
  <si>
    <t xml:space="preserve">Art. 26 Abs. 7</t>
  </si>
  <si>
    <t xml:space="preserve">A.10</t>
  </si>
  <si>
    <t xml:space="preserve">Öffentliche Stellen: Registrierungspflichten erfüllen; bei fehlender Registrierung von der Verwendung absehen</t>
  </si>
  <si>
    <t xml:space="preserve">Art. 26 Abs. 8</t>
  </si>
  <si>
    <t xml:space="preserve">A.11</t>
  </si>
  <si>
    <t xml:space="preserve">Anbieterinformationen nach Art. 13 für eine ggf. erforderliche DSFA verwenden</t>
  </si>
  <si>
    <t xml:space="preserve">Art. 26 Abs. 9</t>
  </si>
  <si>
    <t xml:space="preserve">A.12</t>
  </si>
  <si>
    <t xml:space="preserve">Bei Anhang-III-Systemen: betroffene Personen über die Verwendung informieren (auch bei bloßer Entscheidungsunterstützung)</t>
  </si>
  <si>
    <t xml:space="preserve">Art. 26 Abs. 11</t>
  </si>
  <si>
    <t xml:space="preserve">Hochrisiko Anhang III</t>
  </si>
  <si>
    <t xml:space="preserve">A.13</t>
  </si>
  <si>
    <t xml:space="preserve">Mit den zuständigen Behörden zusammenarbeiten</t>
  </si>
  <si>
    <t xml:space="preserve">Art. 26 Abs. 12</t>
  </si>
  <si>
    <t xml:space="preserve">A.14</t>
  </si>
  <si>
    <t xml:space="preserve">Anspruch auf Erläuterung der Entscheidung vorbereiten. Nur Anhang III AUSSER Nr. 2 und nur bei rechtlicher Auswirkung oder ähnlich erheblicher Beeinträchtigung; subsidiär zu anderem Unionsrecht</t>
  </si>
  <si>
    <t xml:space="preserve">Art. 86 Abs. 1–3</t>
  </si>
  <si>
    <t xml:space="preserve">Hochrisiko Anhang III (außer Nr. 2)</t>
  </si>
  <si>
    <t xml:space="preserve">02.08.2026, praktisch mit HR-Frist</t>
  </si>
  <si>
    <t xml:space="preserve">A.19</t>
  </si>
  <si>
    <t xml:space="preserve">Nur bei nachträglicher biometrischer Fernidentifizierung zu Strafverfolgungszwecken: Genehmigung spätestens binnen 48 Stunden, Löschung bei Ablehnung, Dokumentation, Jahresberichte</t>
  </si>
  <si>
    <t xml:space="preserve">Art. 26 Abs. 10</t>
  </si>
  <si>
    <t xml:space="preserve">A.15</t>
  </si>
  <si>
    <t xml:space="preserve">GRFA</t>
  </si>
  <si>
    <t xml:space="preserve">Prüfen, ob wir zur Grundrechte-Folgenabschätzung verpflichtet sind (öffentliche Stelle, öffentlicher Dienst, Anhang III Nr. 5 lit. b/c)</t>
  </si>
  <si>
    <t xml:space="preserve">Art. 27 Abs. 1</t>
  </si>
  <si>
    <t xml:space="preserve">vor Inbetriebnahme</t>
  </si>
  <si>
    <t xml:space="preserve">A.16</t>
  </si>
  <si>
    <t xml:space="preserve">GRFA mit allen sechs Pflichtinhalten (lit. a–f) erstellen</t>
  </si>
  <si>
    <t xml:space="preserve">Art. 27 Abs. 1 lit. a–f</t>
  </si>
  <si>
    <t xml:space="preserve">A.17</t>
  </si>
  <si>
    <t xml:space="preserve">Ergebnisse der Marktüberwachungsbehörde mitteilen (Muster nach Art. 27 Abs. 5)</t>
  </si>
  <si>
    <t xml:space="preserve">Art. 27 Abs. 3</t>
  </si>
  <si>
    <t xml:space="preserve">nach Durchführung</t>
  </si>
  <si>
    <t xml:space="preserve">A.18</t>
  </si>
  <si>
    <t xml:space="preserve">Soweit durch DSFA erfüllt: Verweise oder Teile der DSFA in die GRFA aufnehmen</t>
  </si>
  <si>
    <t xml:space="preserve">Art. 27 Abs. 4 n. F.</t>
  </si>
  <si>
    <t xml:space="preserve">B.1</t>
  </si>
  <si>
    <t xml:space="preserve">Risikomanagementsystem einrichten, anwenden, dokumentieren, aufrechterhalten (kontinuierlich, iterativ)</t>
  </si>
  <si>
    <t xml:space="preserve">Art. 9</t>
  </si>
  <si>
    <t xml:space="preserve">B.2</t>
  </si>
  <si>
    <t xml:space="preserve">Daten-Governance: Trainings-, Validierungs- und Testdaten relevant, repräsentativ, so weit wie möglich fehlerfrei</t>
  </si>
  <si>
    <t xml:space="preserve">Art. 10 Abs. 2–4</t>
  </si>
  <si>
    <t xml:space="preserve">B.3</t>
  </si>
  <si>
    <t xml:space="preserve">Untersuchung auf Verzerrungen (Bias); Rechtsgrundlage für besondere Datenkategorien jetzt Art. 4a n. F.</t>
  </si>
  <si>
    <t xml:space="preserve">Art. 10 Abs. 2 lit. f und g, Art. 4a n. F.</t>
  </si>
  <si>
    <t xml:space="preserve">B.4</t>
  </si>
  <si>
    <t xml:space="preserve">Technische Dokumentation nach Anhang IV erstellen und aktuell halten</t>
  </si>
  <si>
    <t xml:space="preserve">Art. 11, Anhang IV</t>
  </si>
  <si>
    <t xml:space="preserve">B.5</t>
  </si>
  <si>
    <t xml:space="preserve">KMU und kleine Midcaps: vereinfachtes Formular der Kommission nutzen (notifizierte Stellen müssen es akzeptieren)</t>
  </si>
  <si>
    <t xml:space="preserve">Art. 11 Abs. 1 UAbs. 2 n. F.</t>
  </si>
  <si>
    <t xml:space="preserve">B.6</t>
  </si>
  <si>
    <t xml:space="preserve">Automatische Protokollierung über die Lebensdauer ermöglichen</t>
  </si>
  <si>
    <t xml:space="preserve">Art. 12</t>
  </si>
  <si>
    <t xml:space="preserve">B.7</t>
  </si>
  <si>
    <t xml:space="preserve">Betriebsanleitung mit allen Pflichtinhalten beifügen</t>
  </si>
  <si>
    <t xml:space="preserve">Art. 13</t>
  </si>
  <si>
    <t xml:space="preserve">B.8</t>
  </si>
  <si>
    <t xml:space="preserve">System so gestalten, dass wirksame menschliche Aufsicht möglich ist (inkl. Stopptaste)</t>
  </si>
  <si>
    <t xml:space="preserve">Art. 14</t>
  </si>
  <si>
    <t xml:space="preserve">B.9</t>
  </si>
  <si>
    <t xml:space="preserve">Bei biometrischer Identifizierung nach Anhang III Nr. 1 lit. a: Vier-Augen-Prinzip — Gestaltungspflicht des Anbieters, Handlungsschranke für den Betreiber</t>
  </si>
  <si>
    <t xml:space="preserve">Art. 14 Abs. 5</t>
  </si>
  <si>
    <t xml:space="preserve">B.10</t>
  </si>
  <si>
    <t xml:space="preserve">Genauigkeit, Robustheit und Cybersicherheit über den Lebenszyklus sicherstellen</t>
  </si>
  <si>
    <t xml:space="preserve">Art. 15</t>
  </si>
  <si>
    <t xml:space="preserve">B.11</t>
  </si>
  <si>
    <t xml:space="preserve">Widerstandsfähigkeit gegen Angriffe (Data/Model Poisoning, adversarial examples, Model Evasion)</t>
  </si>
  <si>
    <t xml:space="preserve">Art. 15 Abs. 5</t>
  </si>
  <si>
    <t xml:space="preserve">B.12</t>
  </si>
  <si>
    <t xml:space="preserve">Qualitätsmanagementsystem einrichten (schriftliche Regeln, Verfahren, Anweisungen)</t>
  </si>
  <si>
    <t xml:space="preserve">Art. 17</t>
  </si>
  <si>
    <t xml:space="preserve">B.13</t>
  </si>
  <si>
    <t xml:space="preserve">Nur KMU inkl. Start-ups ohne Partner-/verbundene Unternehmen: vereinfachtes QMS. Kleine Midcaps sind NICHT erfasst; befreit nicht von Art. 9–15, 72, 73 (Art. 63 Abs. 2)</t>
  </si>
  <si>
    <t xml:space="preserve">Art. 63 Abs. 1 n. F., Abs. 2</t>
  </si>
  <si>
    <t xml:space="preserve">B.14</t>
  </si>
  <si>
    <t xml:space="preserve">Dokumentation zehn Jahre aufbewahren</t>
  </si>
  <si>
    <t xml:space="preserve">Art. 18</t>
  </si>
  <si>
    <t xml:space="preserve">B.15</t>
  </si>
  <si>
    <t xml:space="preserve">Automatisch erzeugte Protokolle aufbewahren (mindestens sechs Monate)</t>
  </si>
  <si>
    <t xml:space="preserve">Art. 19</t>
  </si>
  <si>
    <t xml:space="preserve">B.16</t>
  </si>
  <si>
    <t xml:space="preserve">Bei Nichtkonformität: unverzüglich Korrekturmaßnahmen und Information der Marktteilnehmer</t>
  </si>
  <si>
    <t xml:space="preserve">Art. 20</t>
  </si>
  <si>
    <t xml:space="preserve">B.17</t>
  </si>
  <si>
    <t xml:space="preserve">Art. 21</t>
  </si>
  <si>
    <t xml:space="preserve">B.18</t>
  </si>
  <si>
    <t xml:space="preserve">Drittstaatenanbieter: Bevollmächtigten in der Union benennen</t>
  </si>
  <si>
    <t xml:space="preserve">Art. 22</t>
  </si>
  <si>
    <t xml:space="preserve">B.19</t>
  </si>
  <si>
    <t xml:space="preserve">Konformitätsbewertung durchführen. Wahl zwischen Anhang VI und Anhang VII nur bei Anhang III Nr. 1 (Biometrie); bei Anhang III Nrn. 2–8 stets interne Kontrolle nach Anhang VI</t>
  </si>
  <si>
    <t xml:space="preserve">Art. 43 Abs. 1, 2 und 3 n. F.</t>
  </si>
  <si>
    <t xml:space="preserve">B.20</t>
  </si>
  <si>
    <t xml:space="preserve">EU-Konformitätserklärung ausstellen (Anhang V) und zehn Jahre aufbewahren</t>
  </si>
  <si>
    <t xml:space="preserve">Art. 47</t>
  </si>
  <si>
    <t xml:space="preserve">B.21</t>
  </si>
  <si>
    <t xml:space="preserve">CE-Kennzeichnung anbringen, ggf. mit Nummer der notifizierten Stelle</t>
  </si>
  <si>
    <t xml:space="preserve">Art. 48</t>
  </si>
  <si>
    <t xml:space="preserve">B.22</t>
  </si>
  <si>
    <t xml:space="preserve">System in der EU-Datenbank registrieren. Gilt nur für Anhang III AUSSER Nr. 2 (kritische Infrastruktur: nationale Registrierung nach Art. 49 Abs. 5); für Anhang I besteht keine Registrierung nach Art. 49 Abs. 1</t>
  </si>
  <si>
    <t xml:space="preserve">Art. 49 Abs. 1 und 5</t>
  </si>
  <si>
    <t xml:space="preserve">B.23</t>
  </si>
  <si>
    <t xml:space="preserve">Bei Selbsteinstufung als nicht hochriskant: Bewertung VOR Inverkehrbringen dokumentieren und nach Art. 49 Abs. 2 registrieren</t>
  </si>
  <si>
    <t xml:space="preserve">Art. 6 Abs. 4, Art. 49 Abs. 2</t>
  </si>
  <si>
    <t xml:space="preserve">Kein Hochrisiko (Art. 6 Abs. 3)</t>
  </si>
  <si>
    <t xml:space="preserve">B.24</t>
  </si>
  <si>
    <t xml:space="preserve">Beobachtungssystem nach dem Inverkehrbringen einrichten und Plan erstellen</t>
  </si>
  <si>
    <t xml:space="preserve">Art. 72</t>
  </si>
  <si>
    <t xml:space="preserve">B.25</t>
  </si>
  <si>
    <t xml:space="preserve">Schwerwiegende Vorfälle melden — Regelfall spätestens 15 Tage</t>
  </si>
  <si>
    <t xml:space="preserve">Art. 73 Abs. 2</t>
  </si>
  <si>
    <t xml:space="preserve">B.26</t>
  </si>
  <si>
    <t xml:space="preserve">Schwerwiegende Vorfälle melden — weitverbreiteter Verstoß / kritische Infrastruktur: spätestens 2 Tage</t>
  </si>
  <si>
    <t xml:space="preserve">Art. 73 Abs. 3</t>
  </si>
  <si>
    <t xml:space="preserve">B.27</t>
  </si>
  <si>
    <t xml:space="preserve">Schwerwiegende Vorfälle melden — Tod einer Person: spätestens 10 Tage</t>
  </si>
  <si>
    <t xml:space="preserve">Art. 73 Abs. 4</t>
  </si>
  <si>
    <t xml:space="preserve">B.28</t>
  </si>
  <si>
    <t xml:space="preserve">Barrierefreiheitsanforderungen nach RL (EU) 2016/2102 und RL (EU) 2019/882 erfüllen</t>
  </si>
  <si>
    <t xml:space="preserve">Art. 16 lit. l</t>
  </si>
  <si>
    <t xml:space="preserve">C.1</t>
  </si>
  <si>
    <t xml:space="preserve">Rollenwechsel</t>
  </si>
  <si>
    <t xml:space="preserve">Prüfen: Eigenlabeling auf fremdem Hochrisiko-System</t>
  </si>
  <si>
    <t xml:space="preserve">Art. 25 Abs. 1 lit. a</t>
  </si>
  <si>
    <t xml:space="preserve">C.2</t>
  </si>
  <si>
    <t xml:space="preserve">Prüfen: wesentliche Veränderung eines Hochrisiko-Systems</t>
  </si>
  <si>
    <t xml:space="preserve">Art. 25 Abs. 1 lit. b</t>
  </si>
  <si>
    <t xml:space="preserve">C.3</t>
  </si>
  <si>
    <t xml:space="preserve">Prüfen: Zweckänderung, die ein System zum Hochrisiko-System macht (auch bei GPAI-Systemen)</t>
  </si>
  <si>
    <t xml:space="preserve">Art. 25 Abs. 1 lit. c</t>
  </si>
  <si>
    <t xml:space="preserve">C.4</t>
  </si>
  <si>
    <t xml:space="preserve">Vom Erstanbieter die Mitwirkungsleistungen einfordern (Unterlagen, Einschränkungen, technischer Zugang)</t>
  </si>
  <si>
    <t xml:space="preserve">Art. 25 Abs. 2 n. F.</t>
  </si>
  <si>
    <t xml:space="preserve">C.5</t>
  </si>
  <si>
    <t xml:space="preserve">Freigabeprozess: jede Zweckänderung, jedes Fine-Tuning, jedes Eigenlabeling durchläuft eine dokumentierte Rollenprüfung</t>
  </si>
  <si>
    <t xml:space="preserve">G.1</t>
  </si>
  <si>
    <t xml:space="preserve">GPAI</t>
  </si>
  <si>
    <t xml:space="preserve">Nur für Modellanbieter: technische Dokumentation nach Anhang XI</t>
  </si>
  <si>
    <t xml:space="preserve">Art. 53 Abs. 1 lit. a</t>
  </si>
  <si>
    <t xml:space="preserve">gilt seit 02.08.2025</t>
  </si>
  <si>
    <t xml:space="preserve">G.2</t>
  </si>
  <si>
    <t xml:space="preserve">Nur für Modellanbieter: Informationen für nachgelagerte Anbieter nach Anhang XII</t>
  </si>
  <si>
    <t xml:space="preserve">Art. 53 Abs. 1 lit. b</t>
  </si>
  <si>
    <t xml:space="preserve">G.3</t>
  </si>
  <si>
    <t xml:space="preserve">Nur für Modellanbieter: Strategie zur Einhaltung des Urheberrechts (TDM-Rechtsvorbehalt)</t>
  </si>
  <si>
    <t xml:space="preserve">Art. 53 Abs. 1 lit. c</t>
  </si>
  <si>
    <t xml:space="preserve">G.4</t>
  </si>
  <si>
    <t xml:space="preserve">Nur für Modellanbieter: Zusammenfassung der Trainingsinhalte veröffentlichen</t>
  </si>
  <si>
    <t xml:space="preserve">Art. 53 Abs. 1 lit. d</t>
  </si>
  <si>
    <t xml:space="preserve">G.5</t>
  </si>
  <si>
    <t xml:space="preserve">Bei systemischem Risiko (Vermutung ab 10^25 FLOP): Modellbewertung, Red Teaming, Risikominderung, Vorfallmeldung, Cybersicherheit</t>
  </si>
  <si>
    <t xml:space="preserve">Art. 51, Art. 55 Abs. 1</t>
  </si>
  <si>
    <t xml:space="preserve">Hinweis: Der Katalog folgt den Checklisten des Dokumentenpakets. Er ist nach bestem Wissen zusammengestellt, erhebt aber keinen Anspruch auf Vollständigkeit für jeden Anwendungsfall. Fundstellen mit „n. F.“ wurden durch die VO (EU) 2026/1744 geändert.</t>
  </si>
  <si>
    <t xml:space="preserve">05 — Maßnahmenplan</t>
  </si>
  <si>
    <t xml:space="preserve">Offene Punkte aus der Pflichten-Matrix in konkrete Maßnahmen überführen. Die Spalte „Terminstatus“ berechnet sich aus dem Fälligkeitsdatum.</t>
  </si>
  <si>
    <t xml:space="preserve">Betrifft System-ID</t>
  </si>
  <si>
    <t xml:space="preserve">Bezug Pflicht-Nr.</t>
  </si>
  <si>
    <t xml:space="preserve">Festgestellte Lücke</t>
  </si>
  <si>
    <t xml:space="preserve">Maßnahme</t>
  </si>
  <si>
    <t xml:space="preserve">Fortschritt %</t>
  </si>
  <si>
    <t xml:space="preserve">Priorität</t>
  </si>
  <si>
    <t xml:space="preserve">Terminstatus (autom.)</t>
  </si>
  <si>
    <t xml:space="preserve">BEISPIEL: Beschäftigte und Arbeitnehmervertretung noch nicht informiert</t>
  </si>
  <si>
    <t xml:space="preserve">Informationsschreiben erstellen, mit Betriebsrat abstimmen, vor Inbetriebnahme versenden</t>
  </si>
  <si>
    <t xml:space="preserve">hoch</t>
  </si>
  <si>
    <t xml:space="preserve">06 — Dashboard</t>
  </si>
  <si>
    <t xml:space="preserve">Automatische Auswertung der Blätter 01, 03, 04 und 05. Rechtsstand 29.07.2026.</t>
  </si>
  <si>
    <t xml:space="preserve">KI-Systeme</t>
  </si>
  <si>
    <t xml:space="preserve">Kennzahl</t>
  </si>
  <si>
    <t xml:space="preserve">Wert</t>
  </si>
  <si>
    <t xml:space="preserve">Hinweis</t>
  </si>
  <si>
    <t xml:space="preserve">Erfasste KI-Systeme (Blatt 01)</t>
  </si>
  <si>
    <t xml:space="preserve">ohne Beispielzeile</t>
  </si>
  <si>
    <t xml:space="preserve">davon eingestuft (Blatt 03)</t>
  </si>
  <si>
    <t xml:space="preserve">VERBOTEN (Art. 5)</t>
  </si>
  <si>
    <t xml:space="preserve">Sofortiger Handlungsbedarf — Einsatz unzulässig</t>
  </si>
  <si>
    <t xml:space="preserve">Pflichten ab 02.12.2027 (Beispielzeile enthalten)</t>
  </si>
  <si>
    <t xml:space="preserve">Hochrisiko Anhang I und Anhang III</t>
  </si>
  <si>
    <t xml:space="preserve">kumulativ — frühere Frist maßgeblich</t>
  </si>
  <si>
    <t xml:space="preserve">Hochrisiko Anhang I</t>
  </si>
  <si>
    <t xml:space="preserve">Pflichten ab 02.08.2028</t>
  </si>
  <si>
    <t xml:space="preserve">Kein Hochrisiko nach Art. 6 Abs. 3</t>
  </si>
  <si>
    <t xml:space="preserve">Bewertung dokumentieren und nach Art. 49 Abs. 2 registrieren</t>
  </si>
  <si>
    <t xml:space="preserve">Transparenzpflicht (Art. 50)</t>
  </si>
  <si>
    <t xml:space="preserve">Pflichten ab 02.08.2026</t>
  </si>
  <si>
    <t xml:space="preserve">Geringes Risiko</t>
  </si>
  <si>
    <t xml:space="preserve">Nur Art. 4 (KI-Kompetenz)</t>
  </si>
  <si>
    <t xml:space="preserve">noch offen</t>
  </si>
  <si>
    <t xml:space="preserve">Einstufung unvollständig</t>
  </si>
  <si>
    <t xml:space="preserve">Pflichtenerfüllung (Blatt 04)</t>
  </si>
  <si>
    <t xml:space="preserve">Als relevant markierte Pflichten</t>
  </si>
  <si>
    <t xml:space="preserve">davon erfüllt</t>
  </si>
  <si>
    <t xml:space="preserve">davon in Arbeit</t>
  </si>
  <si>
    <t xml:space="preserve">davon offen</t>
  </si>
  <si>
    <t xml:space="preserve">ohne Statuseintrag</t>
  </si>
  <si>
    <t xml:space="preserve">Bitte Status setzen</t>
  </si>
  <si>
    <t xml:space="preserve">Erfüllungsgrad</t>
  </si>
  <si>
    <t xml:space="preserve">erfüllt geteilt durch relevant, ohne 'nicht anwendbar'</t>
  </si>
  <si>
    <t xml:space="preserve">Noch nicht bewertete Pflichten</t>
  </si>
  <si>
    <t xml:space="preserve">Relevanz noch nicht entschieden</t>
  </si>
  <si>
    <t xml:space="preserve">Maßnahmen (Blatt 05)</t>
  </si>
  <si>
    <t xml:space="preserve">Maßnahmen gesamt</t>
  </si>
  <si>
    <t xml:space="preserve">davon ohne Fälligkeitsdatum</t>
  </si>
  <si>
    <t xml:space="preserve">Termin nachtragen</t>
  </si>
  <si>
    <t xml:space="preserve">überfällig</t>
  </si>
  <si>
    <t xml:space="preserve">Sofort nachsteuern</t>
  </si>
  <si>
    <t xml:space="preserve">fällig in den nächsten 30 Tagen</t>
  </si>
  <si>
    <t xml:space="preserve">abgeschlossen</t>
  </si>
  <si>
    <t xml:space="preserve">Fristen im Blick</t>
  </si>
  <si>
    <t xml:space="preserve">02.08.2026 — Transparenzpflichten (Art. 50)</t>
  </si>
  <si>
    <t xml:space="preserve">02.12.2026 — Neue Verbote NCII/CSAM und Kennzeichnung Bestandssysteme</t>
  </si>
  <si>
    <t xml:space="preserve">02.12.2027 — Hochrisiko Anhang III</t>
  </si>
  <si>
    <t xml:space="preserve">02.08.2028 — Hochrisiko Anhang I</t>
  </si>
  <si>
    <t xml:space="preserve">Die Kennzahlen berechnen sich automatisch. Bleibt eine Zahl bei 0, sind die zugehörigen Eingabefelder noch leer.</t>
  </si>
  <si>
    <t xml:space="preserve">07 — Quellen und Fundstellen</t>
  </si>
  <si>
    <t xml:space="preserve">Stand 29.07.2026. Alle Quellen zuletzt abgerufen am 29.07.2026.</t>
  </si>
  <si>
    <t xml:space="preserve">Gegenstand</t>
  </si>
  <si>
    <t xml:space="preserve">Quelle / Link</t>
  </si>
  <si>
    <t xml:space="preserve">Anmerkung</t>
  </si>
  <si>
    <t xml:space="preserve">KI-Verordnung (Grundverordnung)</t>
  </si>
  <si>
    <t xml:space="preserve">VO (EU) 2024/1689, ABl. L, 2024/1689, 12.7.2024</t>
  </si>
  <si>
    <t xml:space="preserve">https://eur-lex.europa.eu/eli/reg/2024/1689/oj/deu</t>
  </si>
  <si>
    <t xml:space="preserve">CELEX 32024R1689</t>
  </si>
  <si>
    <t xml:space="preserve">Digital-Omnibus-Verordnung zur KI</t>
  </si>
  <si>
    <t xml:space="preserve">VO (EU) 2026/1744 vom 8.7.2026, ABl. 24.7.2026</t>
  </si>
  <si>
    <t xml:space="preserve">https://eur-lex.europa.eu/eli/reg/2026/1744/oj/deu</t>
  </si>
  <si>
    <t xml:space="preserve">CELEX 32026R1744; in Kraft seit 27.07.2026; ändert VO 2024/1689, 2018/1139 und 2023/1230</t>
  </si>
  <si>
    <t xml:space="preserve">Kommissionsvorschlag</t>
  </si>
  <si>
    <t xml:space="preserve">COM(2025) 836 final, Verfahren 2025/0359(COD)</t>
  </si>
  <si>
    <t xml:space="preserve">https://eur-lex.europa.eu/legal-content/DE/TXT/?uri=CELEX:52025PC0836</t>
  </si>
  <si>
    <t xml:space="preserve">Vergleichsgrundlage: mehrere Vorschläge wurden nicht übernommen</t>
  </si>
  <si>
    <t xml:space="preserve">KMU-Definition</t>
  </si>
  <si>
    <t xml:space="preserve">Empfehlung 2003/361/EG, Art. 2 des Anhangs</t>
  </si>
  <si>
    <t xml:space="preserve">https://eur-lex.europa.eu/legal-content/DE/TXT/?uri=CELEX:32003H0361</t>
  </si>
  <si>
    <t xml:space="preserve">Referenz in Art. 3 Nr. 14a KI-VO n. F.</t>
  </si>
  <si>
    <t xml:space="preserve">Definition kleines Midcap-Unternehmen</t>
  </si>
  <si>
    <t xml:space="preserve">Empfehlung (EU) 2025/1099, Nr. 2 des Anhangs</t>
  </si>
  <si>
    <t xml:space="preserve">https://eur-lex.europa.eu/legal-content/DE/TXT/PDF/?uri=OJ:L_202501099</t>
  </si>
  <si>
    <t xml:space="preserve">&lt; 750 Beschäftigte; Umsatz ≤ 150 Mio. EUR oder Bilanzsumme ≤ 129 Mio. EUR</t>
  </si>
  <si>
    <t xml:space="preserve">Bekämpfung sexuellen Kindesmissbrauchs</t>
  </si>
  <si>
    <t xml:space="preserve">RL 2011/93/EU, Art. 2 lit. c und e</t>
  </si>
  <si>
    <t xml:space="preserve">https://eur-lex.europa.eu/legal-content/DE/TXT/?uri=CELEX:32011L0093</t>
  </si>
  <si>
    <t xml:space="preserve">Referenz in Art. 5 Abs. 1 lit. bb KI-VO n. F.</t>
  </si>
  <si>
    <t xml:space="preserve">Rat der EU — endgültige Zustimmung</t>
  </si>
  <si>
    <t xml:space="preserve">Pressemitteilung vom 29.06.2026</t>
  </si>
  <si>
    <t xml:space="preserve">https://www.consilium.europa.eu/en/press/press-releases/2026/06/29/artificial-intelligence-council-gives-final-green-light-to-simplify-and-streamline-rules/</t>
  </si>
  <si>
    <t xml:space="preserve">Europäisches Parlament — Verfahrensgang</t>
  </si>
  <si>
    <t xml:space="preserve">Legislative Train Schedule</t>
  </si>
  <si>
    <t xml:space="preserve">https://www.europarl.europa.eu/legislative-train/package-digital-package/file-digital-omnibus-on-ai</t>
  </si>
  <si>
    <t xml:space="preserve">Trilog 07.05.2026; Plenum 16.06.2026 (423:57:174)</t>
  </si>
  <si>
    <t xml:space="preserve">AI Act Explorer (vom Auftraggeber benannt)</t>
  </si>
  <si>
    <t xml:space="preserve">artificialintelligenceact.eu</t>
  </si>
  <si>
    <t xml:space="preserve">https://artificialintelligenceact.eu/de/</t>
  </si>
  <si>
    <t xml:space="preserve">Deutsche Seiten laut Eigenhinweis maschinell übersetzt; Timeline zum Abrufzeitpunkt Stand 01.08.2024 — Digital Omnibus nicht abgebildet</t>
  </si>
  <si>
    <t xml:space="preserve">Gesetzestext DE (vom Auftraggeber benannt)</t>
  </si>
  <si>
    <t xml:space="preserve">ai-act-law.eu</t>
  </si>
  <si>
    <t xml:space="preserve">https://ai-act-law.eu/de/</t>
  </si>
  <si>
    <t xml:space="preserve">Amtlicher deutscher Wortlaut der KI-VO, Textstand 04/2024 — Digital Omnibus nicht eingearbeitet</t>
  </si>
  <si>
    <t xml:space="preserve">Ausdrücklich nicht verifiziert</t>
  </si>
  <si>
    <t xml:space="preserve">• Deutsche Durchführungsgesetzgebung: Benennung der Marktüberwachungsbehörden und nationales Sanktionsrecht nach Art. 99 Abs. 1.</t>
  </si>
  <si>
    <t xml:space="preserve">• Veröffentlichungsstand der Kommissionsleitlinien nach Art. 6 Abs. 5 (Einstufung Hochrisiko).</t>
  </si>
  <si>
    <t xml:space="preserve">• Veröffentlichungsstand des Musters für die Trainingsdaten-Zusammenfassung (Art. 53 Abs. 1 lit. d) und des Muster-Fragebogens für die Grundrechte-Folgenabschätzung (Art. 27 Abs. 5).</t>
  </si>
  <si>
    <t xml:space="preserve">• Ob zur Sprachfassungsdivergenz in Art. 26 Abs. 8 (DE: nur Unionsstellen; EN: zusätzlich „public authorities“) ein Corrigendum ergangen ist.</t>
  </si>
  <si>
    <t xml:space="preserve">• Stand der delegierten Rechtsakte nach Art. 2 Abs. 13 KI-VO n. F. (Frist: 02.08.2027).</t>
  </si>
  <si>
    <t xml:space="preserve">Auswahllisten (technische Basis)</t>
  </si>
  <si>
    <t xml:space="preserve">Diese Liste speist die Dropdown-Felder der anderen Blätter. Änderungen wirken sich dort aus.</t>
  </si>
  <si>
    <t xml:space="preserve">Ja/Nein</t>
  </si>
  <si>
    <t xml:space="preserve">Rolle</t>
  </si>
  <si>
    <t xml:space="preserve">Risikoklasse</t>
  </si>
  <si>
    <t xml:space="preserve">Anhang III Bereich</t>
  </si>
  <si>
    <t xml:space="preserve">Art. 50 Fall</t>
  </si>
  <si>
    <t xml:space="preserve">Relevanz</t>
  </si>
  <si>
    <t xml:space="preserve">offen</t>
  </si>
  <si>
    <t xml:space="preserve">KMU / Start-up</t>
  </si>
  <si>
    <t xml:space="preserve">ja – Beschäftigte</t>
  </si>
  <si>
    <t xml:space="preserve">in Arbeit</t>
  </si>
  <si>
    <t xml:space="preserve">1 Biometrie</t>
  </si>
  <si>
    <t xml:space="preserve">Abs. 1 – direkte Interaktion (Anbieter)</t>
  </si>
  <si>
    <t xml:space="preserve">mittel</t>
  </si>
  <si>
    <t xml:space="preserve">kleines Midcap-Unternehmen</t>
  </si>
  <si>
    <t xml:space="preserve">ja – Kunden</t>
  </si>
  <si>
    <t xml:space="preserve">Prüfung offen</t>
  </si>
  <si>
    <t xml:space="preserve">erfüllt</t>
  </si>
  <si>
    <t xml:space="preserve">2 Kritische Infrastruktur</t>
  </si>
  <si>
    <t xml:space="preserve">Abs. 2 – synthetische Inhalte (Anbieter)</t>
  </si>
  <si>
    <t xml:space="preserve">niedrig</t>
  </si>
  <si>
    <t xml:space="preserve">sonstiges Unternehmen</t>
  </si>
  <si>
    <t xml:space="preserve">nicht anwendbar</t>
  </si>
  <si>
    <t xml:space="preserve">Einführer</t>
  </si>
  <si>
    <t xml:space="preserve">3 Bildung</t>
  </si>
  <si>
    <t xml:space="preserve">Abs. 3 – Emotionserkennung/biometr. Kategorisierung (Betreiber)</t>
  </si>
  <si>
    <t xml:space="preserve">öffentliche Stelle</t>
  </si>
  <si>
    <t xml:space="preserve">nein</t>
  </si>
  <si>
    <t xml:space="preserve">Händler</t>
  </si>
  <si>
    <t xml:space="preserve">Abs. 4 – Deepfake (Betreiber)</t>
  </si>
  <si>
    <t xml:space="preserve">unklar</t>
  </si>
  <si>
    <t xml:space="preserve">5 Grundlegende Dienste (u. a. Kreditwürdigkeit, Versicherung)</t>
  </si>
  <si>
    <t xml:space="preserve">Abs. 4 – KI-Text zu öffentlichem Interesse (Betreiber)</t>
  </si>
  <si>
    <t xml:space="preserve">GPAI (Art. 53)</t>
  </si>
  <si>
    <t xml:space="preserve">6 Strafverfolgung</t>
  </si>
  <si>
    <t xml:space="preserve">GPAI mit systemischem Risiko (Art. 55)</t>
  </si>
  <si>
    <t xml:space="preserve">7 Migration, Asyl, Grenzkontrolle</t>
  </si>
  <si>
    <t xml:space="preserve">8 Rechtspflege und demokratische Prozesse</t>
  </si>
</sst>
</file>

<file path=xl/styles.xml><?xml version="1.0" encoding="utf-8"?>
<styleSheet xmlns="http://schemas.openxmlformats.org/spreadsheetml/2006/main">
  <numFmts count="5">
    <numFmt numFmtId="164" formatCode="General"/>
    <numFmt numFmtId="165" formatCode="General"/>
    <numFmt numFmtId="166" formatCode="dd\.mm\.yyyy"/>
    <numFmt numFmtId="167" formatCode="0%"/>
    <numFmt numFmtId="168" formatCode="0.0%"/>
  </numFmts>
  <fonts count="16">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2"/>
      <color rgb="FF2E5496"/>
      <name val="Arial"/>
      <family val="0"/>
      <charset val="1"/>
    </font>
    <font>
      <b val="true"/>
      <sz val="9"/>
      <name val="Arial"/>
      <family val="0"/>
      <charset val="1"/>
    </font>
    <font>
      <sz val="9"/>
      <name val="Arial"/>
      <family val="0"/>
      <charset val="1"/>
    </font>
    <font>
      <sz val="8"/>
      <color rgb="FF595959"/>
      <name val="Arial"/>
      <family val="0"/>
      <charset val="1"/>
    </font>
    <font>
      <b val="true"/>
      <sz val="9"/>
      <color rgb="FFFFFFFF"/>
      <name val="Arial"/>
      <family val="0"/>
      <charset val="1"/>
    </font>
    <font>
      <i val="true"/>
      <sz val="9"/>
      <color rgb="FF808080"/>
      <name val="Arial"/>
      <family val="0"/>
      <charset val="1"/>
    </font>
    <font>
      <sz val="10"/>
      <name val="Arial"/>
      <family val="2"/>
    </font>
    <font>
      <sz val="9"/>
      <color rgb="FF1F3864"/>
      <name val="Arial"/>
      <family val="0"/>
      <charset val="1"/>
    </font>
    <font>
      <b val="true"/>
      <sz val="11"/>
      <color rgb="FF1F3864"/>
      <name val="Arial"/>
      <family val="0"/>
      <charset val="1"/>
    </font>
    <font>
      <u val="single"/>
      <sz val="9"/>
      <color rgb="FF0563C1"/>
      <name val="Arial"/>
      <family val="0"/>
      <charset val="1"/>
    </font>
  </fonts>
  <fills count="6">
    <fill>
      <patternFill patternType="none"/>
    </fill>
    <fill>
      <patternFill patternType="gray125"/>
    </fill>
    <fill>
      <patternFill patternType="solid">
        <fgColor rgb="FFDCE4F2"/>
        <bgColor rgb="FFE8E8E8"/>
      </patternFill>
    </fill>
    <fill>
      <patternFill patternType="solid">
        <fgColor rgb="FFFFF7DC"/>
        <bgColor rgb="FFEFEFEF"/>
      </patternFill>
    </fill>
    <fill>
      <patternFill patternType="solid">
        <fgColor rgb="FF2E5496"/>
        <bgColor rgb="FF1F3864"/>
      </patternFill>
    </fill>
    <fill>
      <patternFill patternType="solid">
        <fgColor rgb="FFEFEFEF"/>
        <bgColor rgb="FFE8E8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5" fontId="13" fillId="5"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general" vertical="top" textRotation="0" wrapText="true" indent="0" shrinkToFit="false"/>
      <protection locked="true" hidden="false"/>
    </xf>
    <xf numFmtId="165" fontId="14"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8" fontId="14" fillId="5" borderId="1" xfId="0" applyFont="true" applyBorder="true" applyAlignment="true" applyProtection="false">
      <alignment horizontal="center" vertical="center" textRotation="0" wrapText="true" indent="0" shrinkToFit="false"/>
      <protection locked="true" hidden="false"/>
    </xf>
    <xf numFmtId="166" fontId="14" fillId="5"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ont>
        <name val="Arial"/>
        <charset val="1"/>
        <family val="0"/>
        <b val="1"/>
        <sz val="9"/>
      </font>
      <fill>
        <patternFill>
          <bgColor rgb="FFFFC7CE"/>
        </patternFill>
      </fill>
    </dxf>
    <dxf>
      <font>
        <name val="Arial"/>
        <charset val="1"/>
        <family val="0"/>
        <b val="1"/>
        <color rgb="FF9C0006"/>
        <sz val="9"/>
      </font>
      <fill>
        <patternFill>
          <bgColor rgb="FFFFC7CE"/>
        </patternFill>
      </fill>
    </dxf>
    <dxf>
      <fill>
        <patternFill>
          <bgColor rgb="FFE8E8E8"/>
        </patternFill>
      </fill>
    </dxf>
    <dxf>
      <fill>
        <patternFill>
          <bgColor rgb="FFFFEB9C"/>
        </patternFill>
      </fill>
    </dxf>
    <dxf>
      <font>
        <name val="Arial"/>
        <charset val="1"/>
        <family val="0"/>
        <b val="1"/>
        <sz val="9"/>
      </font>
      <fill>
        <patternFill>
          <bgColor rgb="FFFFEB9C"/>
        </patternFill>
      </fill>
    </dxf>
    <dxf>
      <fill>
        <patternFill>
          <bgColor rgb="FFC6EFCE"/>
        </patternFill>
      </fill>
    </dxf>
    <dxf>
      <fill>
        <patternFill patternType="solid">
          <fgColor rgb="FF2E5496"/>
          <bgColor rgb="FF000000"/>
        </patternFill>
      </fill>
    </dxf>
    <dxf>
      <fill>
        <patternFill patternType="solid">
          <fgColor rgb="FFEFEFEF"/>
          <bgColor rgb="FF000000"/>
        </patternFill>
      </fill>
    </dxf>
    <dxf>
      <fill>
        <patternFill patternType="solid">
          <fgColor rgb="FFFFFFFF"/>
          <bgColor rgb="FF000000"/>
        </patternFill>
      </fill>
    </dxf>
    <dxf>
      <fill>
        <patternFill patternType="solid">
          <bgColor rgb="FF000000"/>
        </patternFill>
      </fill>
    </dxf>
    <dxf>
      <fill>
        <patternFill patternType="solid">
          <fgColor rgb="FFFFF7DC"/>
          <bgColor rgb="FF000000"/>
        </patternFill>
      </fill>
    </dxf>
    <dxf>
      <fill>
        <patternFill patternType="solid">
          <fgColor rgb="FFFFC7CE"/>
          <bgColor rgb="FF000000"/>
        </patternFill>
      </fill>
    </dxf>
    <dxf>
      <fill>
        <patternFill patternType="solid">
          <fgColor rgb="FF1F3864"/>
          <bgColor rgb="FF000000"/>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7DC"/>
      <rgbColor rgb="FFEFEFEF"/>
      <rgbColor rgb="FF660066"/>
      <rgbColor rgb="FFFF8080"/>
      <rgbColor rgb="FF0563C1"/>
      <rgbColor rgb="FFDCE4F2"/>
      <rgbColor rgb="FF000080"/>
      <rgbColor rgb="FFFF00FF"/>
      <rgbColor rgb="FFFFFF00"/>
      <rgbColor rgb="FF00FFFF"/>
      <rgbColor rgb="FF800080"/>
      <rgbColor rgb="FF800000"/>
      <rgbColor rgb="FF008080"/>
      <rgbColor rgb="FF0000FF"/>
      <rgbColor rgb="FF00CCFF"/>
      <rgbColor rgb="FFE8E8E8"/>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8.xml.rels><?xml version="1.0" encoding="UTF-8"?>
<Relationships xmlns="http://schemas.openxmlformats.org/package/2006/relationships"><Relationship Id="rId1" Type="http://schemas.openxmlformats.org/officeDocument/2006/relationships/hyperlink" Target="https://eur-lex.europa.eu/eli/reg/2024/1689/oj/deu" TargetMode="External"/><Relationship Id="rId2" Type="http://schemas.openxmlformats.org/officeDocument/2006/relationships/hyperlink" Target="https://eur-lex.europa.eu/eli/reg/2026/1744/oj/deu" TargetMode="External"/><Relationship Id="rId3" Type="http://schemas.openxmlformats.org/officeDocument/2006/relationships/hyperlink" Target="https://eur-lex.europa.eu/legal-content/DE/TXT/?uri=CELEX:52025PC0836" TargetMode="External"/><Relationship Id="rId4" Type="http://schemas.openxmlformats.org/officeDocument/2006/relationships/hyperlink" Target="https://eur-lex.europa.eu/legal-content/DE/TXT/?uri=CELEX:32003H0361" TargetMode="External"/><Relationship Id="rId5" Type="http://schemas.openxmlformats.org/officeDocument/2006/relationships/hyperlink" Target="https://eur-lex.europa.eu/legal-content/DE/TXT/PDF/?uri=OJ:L_202501099" TargetMode="External"/><Relationship Id="rId6" Type="http://schemas.openxmlformats.org/officeDocument/2006/relationships/hyperlink" Target="https://eur-lex.europa.eu/legal-content/DE/TXT/?uri=CELEX:32011L0093" TargetMode="External"/><Relationship Id="rId7" Type="http://schemas.openxmlformats.org/officeDocument/2006/relationships/hyperlink" Target="https://www.consilium.europa.eu/en/press/press-releases/2026/06/29/artificial-intelligence-council-gives-final-green-light-to-simplify-and-streamline-rules/" TargetMode="External"/><Relationship Id="rId8" Type="http://schemas.openxmlformats.org/officeDocument/2006/relationships/hyperlink" Target="https://www.europarl.europa.eu/legislative-train/package-digital-package/file-digital-omnibus-on-ai" TargetMode="External"/><Relationship Id="rId9" Type="http://schemas.openxmlformats.org/officeDocument/2006/relationships/hyperlink" Target="https://artificialintelligenceact.eu/de/" TargetMode="External"/><Relationship Id="rId10" Type="http://schemas.openxmlformats.org/officeDocument/2006/relationships/hyperlink" Target="https://ai-act-law.eu/d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2"/>
    <col collapsed="false" customWidth="true" hidden="false" outlineLevel="0" max="3" min="3" style="0" width="105"/>
  </cols>
  <sheetData>
    <row r="1" customFormat="false" ht="24" hidden="false" customHeight="true" outlineLevel="0" collapsed="false">
      <c r="A1" s="1" t="s">
        <v>0</v>
      </c>
      <c r="B1" s="1"/>
      <c r="C1" s="1"/>
    </row>
    <row r="2" customFormat="false" ht="15" hidden="false" customHeight="false" outlineLevel="0" collapsed="false">
      <c r="A2" s="2" t="s">
        <v>1</v>
      </c>
      <c r="B2" s="2"/>
      <c r="C2" s="2"/>
    </row>
    <row r="5" customFormat="false" ht="15" hidden="false" customHeight="false" outlineLevel="0" collapsed="false">
      <c r="B5" s="3" t="s">
        <v>2</v>
      </c>
      <c r="C5" s="3"/>
    </row>
    <row r="6" customFormat="false" ht="51.75" hidden="false" customHeight="true" outlineLevel="0" collapsed="false">
      <c r="B6" s="4" t="s">
        <v>3</v>
      </c>
      <c r="C6" s="5" t="s">
        <v>4</v>
      </c>
    </row>
    <row r="7" customFormat="false" ht="39" hidden="false" customHeight="true" outlineLevel="0" collapsed="false">
      <c r="B7" s="4" t="s">
        <v>5</v>
      </c>
      <c r="C7" s="5" t="s">
        <v>6</v>
      </c>
    </row>
    <row r="9" customFormat="false" ht="15" hidden="false" customHeight="false" outlineLevel="0" collapsed="false">
      <c r="B9" s="3" t="s">
        <v>7</v>
      </c>
      <c r="C9" s="3"/>
    </row>
    <row r="10" customFormat="false" ht="51.75" hidden="false" customHeight="true" outlineLevel="0" collapsed="false">
      <c r="B10" s="4" t="s">
        <v>8</v>
      </c>
      <c r="C10" s="5" t="s">
        <v>9</v>
      </c>
    </row>
    <row r="11" customFormat="false" ht="51.75" hidden="false" customHeight="true" outlineLevel="0" collapsed="false">
      <c r="B11" s="4" t="s">
        <v>10</v>
      </c>
      <c r="C11" s="5" t="s">
        <v>11</v>
      </c>
    </row>
    <row r="12" customFormat="false" ht="27.75" hidden="false" customHeight="true" outlineLevel="0" collapsed="false">
      <c r="B12" s="4" t="s">
        <v>12</v>
      </c>
      <c r="C12" s="5" t="s">
        <v>13</v>
      </c>
    </row>
    <row r="13" customFormat="false" ht="27.75" hidden="false" customHeight="true" outlineLevel="0" collapsed="false">
      <c r="B13" s="4" t="s">
        <v>14</v>
      </c>
      <c r="C13" s="5" t="s">
        <v>15</v>
      </c>
    </row>
    <row r="15" customFormat="false" ht="15" hidden="false" customHeight="false" outlineLevel="0" collapsed="false">
      <c r="B15" s="3" t="s">
        <v>16</v>
      </c>
      <c r="C15" s="3"/>
    </row>
    <row r="16" customFormat="false" ht="27.75" hidden="false" customHeight="true" outlineLevel="0" collapsed="false">
      <c r="B16" s="4" t="s">
        <v>17</v>
      </c>
      <c r="C16" s="5" t="s">
        <v>18</v>
      </c>
    </row>
    <row r="17" customFormat="false" ht="27.75" hidden="false" customHeight="true" outlineLevel="0" collapsed="false">
      <c r="B17" s="4" t="s">
        <v>19</v>
      </c>
      <c r="C17" s="5" t="s">
        <v>20</v>
      </c>
    </row>
    <row r="18" customFormat="false" ht="27.75" hidden="false" customHeight="true" outlineLevel="0" collapsed="false">
      <c r="B18" s="4" t="s">
        <v>21</v>
      </c>
      <c r="C18" s="5" t="s">
        <v>22</v>
      </c>
    </row>
    <row r="19" customFormat="false" ht="27.75" hidden="false" customHeight="true" outlineLevel="0" collapsed="false">
      <c r="B19" s="4" t="s">
        <v>23</v>
      </c>
      <c r="C19" s="5" t="s">
        <v>24</v>
      </c>
    </row>
    <row r="20" customFormat="false" ht="27.75" hidden="false" customHeight="true" outlineLevel="0" collapsed="false">
      <c r="B20" s="4" t="s">
        <v>25</v>
      </c>
      <c r="C20" s="5" t="s">
        <v>26</v>
      </c>
    </row>
    <row r="21" customFormat="false" ht="27.75" hidden="false" customHeight="true" outlineLevel="0" collapsed="false">
      <c r="B21" s="4" t="s">
        <v>27</v>
      </c>
      <c r="C21" s="5" t="s">
        <v>28</v>
      </c>
    </row>
    <row r="22" customFormat="false" ht="27.75" hidden="false" customHeight="true" outlineLevel="0" collapsed="false">
      <c r="B22" s="4" t="s">
        <v>29</v>
      </c>
      <c r="C22" s="5" t="s">
        <v>30</v>
      </c>
    </row>
    <row r="23" customFormat="false" ht="27.75" hidden="false" customHeight="true" outlineLevel="0" collapsed="false">
      <c r="B23" s="4" t="s">
        <v>31</v>
      </c>
      <c r="C23" s="5" t="s">
        <v>32</v>
      </c>
    </row>
    <row r="25" customFormat="false" ht="15" hidden="false" customHeight="false" outlineLevel="0" collapsed="false">
      <c r="B25" s="3" t="s">
        <v>33</v>
      </c>
      <c r="C25" s="3"/>
    </row>
    <row r="26" customFormat="false" ht="27.75" hidden="false" customHeight="true" outlineLevel="0" collapsed="false">
      <c r="B26" s="4" t="s">
        <v>34</v>
      </c>
      <c r="C26" s="5" t="s">
        <v>35</v>
      </c>
    </row>
    <row r="27" customFormat="false" ht="27.75" hidden="false" customHeight="true" outlineLevel="0" collapsed="false">
      <c r="B27" s="4" t="s">
        <v>36</v>
      </c>
      <c r="C27" s="5" t="s">
        <v>37</v>
      </c>
    </row>
    <row r="28" customFormat="false" ht="27.75" hidden="false" customHeight="true" outlineLevel="0" collapsed="false">
      <c r="B28" s="4" t="s">
        <v>38</v>
      </c>
      <c r="C28" s="5" t="s">
        <v>39</v>
      </c>
    </row>
    <row r="29" customFormat="false" ht="27.75" hidden="false" customHeight="true" outlineLevel="0" collapsed="false">
      <c r="B29" s="4" t="s">
        <v>40</v>
      </c>
      <c r="C29" s="5" t="s">
        <v>41</v>
      </c>
    </row>
    <row r="30" customFormat="false" ht="27.75" hidden="false" customHeight="true" outlineLevel="0" collapsed="false">
      <c r="B30" s="4" t="s">
        <v>42</v>
      </c>
      <c r="C30" s="5" t="s">
        <v>43</v>
      </c>
    </row>
    <row r="31" customFormat="false" ht="27.75" hidden="false" customHeight="true" outlineLevel="0" collapsed="false">
      <c r="B31" s="4" t="s">
        <v>44</v>
      </c>
      <c r="C31" s="5" t="s">
        <v>45</v>
      </c>
    </row>
    <row r="32" customFormat="false" ht="27.75" hidden="false" customHeight="true" outlineLevel="0" collapsed="false">
      <c r="B32" s="4" t="s">
        <v>46</v>
      </c>
      <c r="C32" s="5" t="s">
        <v>47</v>
      </c>
    </row>
    <row r="33" customFormat="false" ht="39" hidden="false" customHeight="true" outlineLevel="0" collapsed="false">
      <c r="B33" s="4" t="s">
        <v>48</v>
      </c>
      <c r="C33" s="5" t="s">
        <v>49</v>
      </c>
    </row>
    <row r="35" customFormat="false" ht="15" hidden="false" customHeight="false" outlineLevel="0" collapsed="false">
      <c r="B35" s="6" t="s">
        <v>50</v>
      </c>
    </row>
    <row r="36" customFormat="false" ht="24" hidden="false" customHeight="true" outlineLevel="0" collapsed="false">
      <c r="B36" s="4" t="s">
        <v>51</v>
      </c>
      <c r="C36" s="7"/>
    </row>
    <row r="37" customFormat="false" ht="36" hidden="false" customHeight="true" outlineLevel="0" collapsed="false">
      <c r="C37" s="8" t="s">
        <v>52</v>
      </c>
    </row>
    <row r="38" customFormat="false" ht="24" hidden="false" customHeight="true" outlineLevel="0" collapsed="false">
      <c r="B38" s="4" t="s">
        <v>53</v>
      </c>
      <c r="C38" s="7"/>
    </row>
    <row r="39" customFormat="false" ht="24" hidden="false" customHeight="true" outlineLevel="0" collapsed="false">
      <c r="C39" s="8" t="s">
        <v>54</v>
      </c>
    </row>
    <row r="40" customFormat="false" ht="24" hidden="false" customHeight="true" outlineLevel="0" collapsed="false">
      <c r="B40" s="4" t="s">
        <v>55</v>
      </c>
      <c r="C40" s="7"/>
    </row>
    <row r="41" customFormat="false" ht="24" hidden="false" customHeight="true" outlineLevel="0" collapsed="false">
      <c r="C41" s="8" t="s">
        <v>56</v>
      </c>
    </row>
  </sheetData>
  <mergeCells count="6">
    <mergeCell ref="A1:C1"/>
    <mergeCell ref="A2:C2"/>
    <mergeCell ref="B5:C5"/>
    <mergeCell ref="B9:C9"/>
    <mergeCell ref="B15:C15"/>
    <mergeCell ref="B25:C25"/>
  </mergeCells>
  <dataValidations count="3">
    <dataValidation allowBlank="true" error="Bitte einen Wert aus der Liste wählen. Freitext führt zu falschen Einstufungen." errorStyle="stop" errorTitle="Ungültige Eingabe" operator="between" showDropDown="false" showErrorMessage="true" showInputMessage="false" sqref="C36" type="list">
      <formula1>'08_Register'!$H$5:$H$8</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C38"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C40" type="list">
      <formula1>'08_Register'!$A$5:$A$7</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22"/>
    <col collapsed="false" customWidth="true" hidden="false" outlineLevel="0" max="4" min="4" style="0" width="40"/>
    <col collapsed="false" customWidth="true" hidden="false" outlineLevel="0" max="5" min="5" style="0" width="16"/>
    <col collapsed="false" customWidth="true" hidden="false" outlineLevel="0" max="6" min="6" style="0" width="26"/>
    <col collapsed="false" customWidth="true" hidden="false" outlineLevel="0" max="7" min="7" style="0" width="20"/>
    <col collapsed="false" customWidth="true" hidden="false" outlineLevel="0" max="8" min="8" style="0" width="16"/>
    <col collapsed="false" customWidth="true" hidden="false" outlineLevel="0" max="9" min="9" style="0" width="20"/>
    <col collapsed="false" customWidth="true" hidden="false" outlineLevel="0" max="10" min="10" style="0" width="24"/>
    <col collapsed="false" customWidth="true" hidden="false" outlineLevel="0" max="11" min="11" style="0" width="30"/>
  </cols>
  <sheetData>
    <row r="1" customFormat="false" ht="24" hidden="false" customHeight="true" outlineLevel="0" collapsed="false">
      <c r="A1" s="1" t="s">
        <v>57</v>
      </c>
      <c r="B1" s="1"/>
      <c r="C1" s="1"/>
      <c r="D1" s="1"/>
      <c r="E1" s="1"/>
      <c r="F1" s="1"/>
      <c r="G1" s="1"/>
      <c r="H1" s="1"/>
      <c r="I1" s="1"/>
      <c r="J1" s="1"/>
      <c r="K1" s="1"/>
    </row>
    <row r="2" customFormat="false" ht="15" hidden="false" customHeight="false" outlineLevel="0" collapsed="false">
      <c r="A2" s="2" t="s">
        <v>58</v>
      </c>
      <c r="B2" s="2"/>
      <c r="C2" s="2"/>
      <c r="D2" s="2"/>
      <c r="E2" s="2"/>
      <c r="F2" s="2"/>
      <c r="G2" s="2"/>
      <c r="H2" s="2"/>
      <c r="I2" s="2"/>
      <c r="J2" s="2"/>
      <c r="K2" s="2"/>
    </row>
    <row r="5" customFormat="false" ht="31.5" hidden="false" customHeight="true" outlineLevel="0" collapsed="false">
      <c r="A5" s="9" t="s">
        <v>59</v>
      </c>
      <c r="B5" s="9" t="s">
        <v>60</v>
      </c>
      <c r="C5" s="9" t="s">
        <v>61</v>
      </c>
      <c r="D5" s="9" t="s">
        <v>62</v>
      </c>
      <c r="E5" s="9" t="s">
        <v>63</v>
      </c>
      <c r="F5" s="9" t="s">
        <v>64</v>
      </c>
      <c r="G5" s="9" t="s">
        <v>65</v>
      </c>
      <c r="H5" s="9" t="s">
        <v>66</v>
      </c>
      <c r="I5" s="9" t="s">
        <v>67</v>
      </c>
      <c r="J5" s="9" t="s">
        <v>68</v>
      </c>
      <c r="K5" s="9" t="s">
        <v>69</v>
      </c>
    </row>
    <row r="6" customFormat="false" ht="25.5" hidden="false" customHeight="true" outlineLevel="0" collapsed="false">
      <c r="A6" s="10" t="s">
        <v>70</v>
      </c>
      <c r="B6" s="10" t="s">
        <v>71</v>
      </c>
      <c r="C6" s="10" t="s">
        <v>72</v>
      </c>
      <c r="D6" s="10" t="s">
        <v>73</v>
      </c>
      <c r="E6" s="10" t="s">
        <v>74</v>
      </c>
      <c r="F6" s="10" t="s">
        <v>75</v>
      </c>
      <c r="G6" s="10" t="s">
        <v>76</v>
      </c>
      <c r="H6" s="10" t="s">
        <v>77</v>
      </c>
      <c r="I6" s="10" t="s">
        <v>78</v>
      </c>
      <c r="J6" s="10" t="s">
        <v>79</v>
      </c>
      <c r="K6" s="10" t="s">
        <v>80</v>
      </c>
    </row>
    <row r="7" customFormat="false" ht="25.5" hidden="false" customHeight="true" outlineLevel="0" collapsed="false">
      <c r="A7" s="11" t="str">
        <f aca="false">IF(B7="","","KI-"&amp;TEXT(ROW()-5,"000"))</f>
        <v/>
      </c>
      <c r="B7" s="11"/>
      <c r="C7" s="11"/>
      <c r="D7" s="11"/>
      <c r="E7" s="11"/>
      <c r="F7" s="11"/>
      <c r="G7" s="7"/>
      <c r="H7" s="7"/>
      <c r="I7" s="11"/>
      <c r="J7" s="11"/>
      <c r="K7" s="11"/>
    </row>
    <row r="8" customFormat="false" ht="25.5" hidden="false" customHeight="true" outlineLevel="0" collapsed="false">
      <c r="A8" s="11" t="str">
        <f aca="false">IF(B8="","","KI-"&amp;TEXT(ROW()-5,"000"))</f>
        <v/>
      </c>
      <c r="B8" s="11"/>
      <c r="C8" s="11"/>
      <c r="D8" s="11"/>
      <c r="E8" s="11"/>
      <c r="F8" s="11"/>
      <c r="G8" s="7"/>
      <c r="H8" s="7"/>
      <c r="I8" s="11"/>
      <c r="J8" s="11"/>
      <c r="K8" s="11"/>
    </row>
    <row r="9" customFormat="false" ht="25.5" hidden="false" customHeight="true" outlineLevel="0" collapsed="false">
      <c r="A9" s="11" t="str">
        <f aca="false">IF(B9="","","KI-"&amp;TEXT(ROW()-5,"000"))</f>
        <v/>
      </c>
      <c r="B9" s="11"/>
      <c r="C9" s="11"/>
      <c r="D9" s="11"/>
      <c r="E9" s="11"/>
      <c r="F9" s="11"/>
      <c r="G9" s="7"/>
      <c r="H9" s="7"/>
      <c r="I9" s="11"/>
      <c r="J9" s="11"/>
      <c r="K9" s="11"/>
    </row>
    <row r="10" customFormat="false" ht="25.5" hidden="false" customHeight="true" outlineLevel="0" collapsed="false">
      <c r="A10" s="11" t="str">
        <f aca="false">IF(B10="","","KI-"&amp;TEXT(ROW()-5,"000"))</f>
        <v/>
      </c>
      <c r="B10" s="11"/>
      <c r="C10" s="11"/>
      <c r="D10" s="11"/>
      <c r="E10" s="11"/>
      <c r="F10" s="11"/>
      <c r="G10" s="7"/>
      <c r="H10" s="7"/>
      <c r="I10" s="11"/>
      <c r="J10" s="11"/>
      <c r="K10" s="11"/>
    </row>
    <row r="11" customFormat="false" ht="25.5" hidden="false" customHeight="true" outlineLevel="0" collapsed="false">
      <c r="A11" s="11" t="str">
        <f aca="false">IF(B11="","","KI-"&amp;TEXT(ROW()-5,"000"))</f>
        <v/>
      </c>
      <c r="B11" s="11"/>
      <c r="C11" s="11"/>
      <c r="D11" s="11"/>
      <c r="E11" s="11"/>
      <c r="F11" s="11"/>
      <c r="G11" s="7"/>
      <c r="H11" s="7"/>
      <c r="I11" s="11"/>
      <c r="J11" s="11"/>
      <c r="K11" s="11"/>
    </row>
    <row r="12" customFormat="false" ht="25.5" hidden="false" customHeight="true" outlineLevel="0" collapsed="false">
      <c r="A12" s="11" t="str">
        <f aca="false">IF(B12="","","KI-"&amp;TEXT(ROW()-5,"000"))</f>
        <v/>
      </c>
      <c r="B12" s="11"/>
      <c r="C12" s="11"/>
      <c r="D12" s="11"/>
      <c r="E12" s="11"/>
      <c r="F12" s="11"/>
      <c r="G12" s="7"/>
      <c r="H12" s="7"/>
      <c r="I12" s="11"/>
      <c r="J12" s="11"/>
      <c r="K12" s="11"/>
    </row>
    <row r="13" customFormat="false" ht="25.5" hidden="false" customHeight="true" outlineLevel="0" collapsed="false">
      <c r="A13" s="11" t="str">
        <f aca="false">IF(B13="","","KI-"&amp;TEXT(ROW()-5,"000"))</f>
        <v/>
      </c>
      <c r="B13" s="11"/>
      <c r="C13" s="11"/>
      <c r="D13" s="11"/>
      <c r="E13" s="11"/>
      <c r="F13" s="11"/>
      <c r="G13" s="7"/>
      <c r="H13" s="7"/>
      <c r="I13" s="11"/>
      <c r="J13" s="11"/>
      <c r="K13" s="11"/>
    </row>
    <row r="14" customFormat="false" ht="25.5" hidden="false" customHeight="true" outlineLevel="0" collapsed="false">
      <c r="A14" s="11" t="str">
        <f aca="false">IF(B14="","","KI-"&amp;TEXT(ROW()-5,"000"))</f>
        <v/>
      </c>
      <c r="B14" s="11"/>
      <c r="C14" s="11"/>
      <c r="D14" s="11"/>
      <c r="E14" s="11"/>
      <c r="F14" s="11"/>
      <c r="G14" s="7"/>
      <c r="H14" s="7"/>
      <c r="I14" s="11"/>
      <c r="J14" s="11"/>
      <c r="K14" s="11"/>
    </row>
    <row r="15" customFormat="false" ht="25.5" hidden="false" customHeight="true" outlineLevel="0" collapsed="false">
      <c r="A15" s="11" t="str">
        <f aca="false">IF(B15="","","KI-"&amp;TEXT(ROW()-5,"000"))</f>
        <v/>
      </c>
      <c r="B15" s="11"/>
      <c r="C15" s="11"/>
      <c r="D15" s="11"/>
      <c r="E15" s="11"/>
      <c r="F15" s="11"/>
      <c r="G15" s="7"/>
      <c r="H15" s="7"/>
      <c r="I15" s="11"/>
      <c r="J15" s="11"/>
      <c r="K15" s="11"/>
    </row>
    <row r="16" customFormat="false" ht="25.5" hidden="false" customHeight="true" outlineLevel="0" collapsed="false">
      <c r="A16" s="11" t="str">
        <f aca="false">IF(B16="","","KI-"&amp;TEXT(ROW()-5,"000"))</f>
        <v/>
      </c>
      <c r="B16" s="11"/>
      <c r="C16" s="11"/>
      <c r="D16" s="11"/>
      <c r="E16" s="11"/>
      <c r="F16" s="11"/>
      <c r="G16" s="7"/>
      <c r="H16" s="7"/>
      <c r="I16" s="11"/>
      <c r="J16" s="11"/>
      <c r="K16" s="11"/>
    </row>
    <row r="17" customFormat="false" ht="25.5" hidden="false" customHeight="true" outlineLevel="0" collapsed="false">
      <c r="A17" s="11" t="str">
        <f aca="false">IF(B17="","","KI-"&amp;TEXT(ROW()-5,"000"))</f>
        <v/>
      </c>
      <c r="B17" s="11"/>
      <c r="C17" s="11"/>
      <c r="D17" s="11"/>
      <c r="E17" s="11"/>
      <c r="F17" s="11"/>
      <c r="G17" s="7"/>
      <c r="H17" s="7"/>
      <c r="I17" s="11"/>
      <c r="J17" s="11"/>
      <c r="K17" s="11"/>
    </row>
    <row r="18" customFormat="false" ht="25.5" hidden="false" customHeight="true" outlineLevel="0" collapsed="false">
      <c r="A18" s="11" t="str">
        <f aca="false">IF(B18="","","KI-"&amp;TEXT(ROW()-5,"000"))</f>
        <v/>
      </c>
      <c r="B18" s="11"/>
      <c r="C18" s="11"/>
      <c r="D18" s="11"/>
      <c r="E18" s="11"/>
      <c r="F18" s="11"/>
      <c r="G18" s="7"/>
      <c r="H18" s="7"/>
      <c r="I18" s="11"/>
      <c r="J18" s="11"/>
      <c r="K18" s="11"/>
    </row>
    <row r="19" customFormat="false" ht="25.5" hidden="false" customHeight="true" outlineLevel="0" collapsed="false">
      <c r="A19" s="11" t="str">
        <f aca="false">IF(B19="","","KI-"&amp;TEXT(ROW()-5,"000"))</f>
        <v/>
      </c>
      <c r="B19" s="11"/>
      <c r="C19" s="11"/>
      <c r="D19" s="11"/>
      <c r="E19" s="11"/>
      <c r="F19" s="11"/>
      <c r="G19" s="7"/>
      <c r="H19" s="7"/>
      <c r="I19" s="11"/>
      <c r="J19" s="11"/>
      <c r="K19" s="11"/>
    </row>
    <row r="20" customFormat="false" ht="25.5" hidden="false" customHeight="true" outlineLevel="0" collapsed="false">
      <c r="A20" s="11" t="str">
        <f aca="false">IF(B20="","","KI-"&amp;TEXT(ROW()-5,"000"))</f>
        <v/>
      </c>
      <c r="B20" s="11"/>
      <c r="C20" s="11"/>
      <c r="D20" s="11"/>
      <c r="E20" s="11"/>
      <c r="F20" s="11"/>
      <c r="G20" s="7"/>
      <c r="H20" s="7"/>
      <c r="I20" s="11"/>
      <c r="J20" s="11"/>
      <c r="K20" s="11"/>
    </row>
    <row r="21" customFormat="false" ht="25.5" hidden="false" customHeight="true" outlineLevel="0" collapsed="false">
      <c r="A21" s="11" t="str">
        <f aca="false">IF(B21="","","KI-"&amp;TEXT(ROW()-5,"000"))</f>
        <v/>
      </c>
      <c r="B21" s="11"/>
      <c r="C21" s="11"/>
      <c r="D21" s="11"/>
      <c r="E21" s="11"/>
      <c r="F21" s="11"/>
      <c r="G21" s="7"/>
      <c r="H21" s="7"/>
      <c r="I21" s="11"/>
      <c r="J21" s="11"/>
      <c r="K21" s="11"/>
    </row>
    <row r="22" customFormat="false" ht="25.5" hidden="false" customHeight="true" outlineLevel="0" collapsed="false">
      <c r="A22" s="11" t="str">
        <f aca="false">IF(B22="","","KI-"&amp;TEXT(ROW()-5,"000"))</f>
        <v/>
      </c>
      <c r="B22" s="11"/>
      <c r="C22" s="11"/>
      <c r="D22" s="11"/>
      <c r="E22" s="11"/>
      <c r="F22" s="11"/>
      <c r="G22" s="7"/>
      <c r="H22" s="7"/>
      <c r="I22" s="11"/>
      <c r="J22" s="11"/>
      <c r="K22" s="11"/>
    </row>
    <row r="23" customFormat="false" ht="25.5" hidden="false" customHeight="true" outlineLevel="0" collapsed="false">
      <c r="A23" s="11" t="str">
        <f aca="false">IF(B23="","","KI-"&amp;TEXT(ROW()-5,"000"))</f>
        <v/>
      </c>
      <c r="B23" s="11"/>
      <c r="C23" s="11"/>
      <c r="D23" s="11"/>
      <c r="E23" s="11"/>
      <c r="F23" s="11"/>
      <c r="G23" s="7"/>
      <c r="H23" s="7"/>
      <c r="I23" s="11"/>
      <c r="J23" s="11"/>
      <c r="K23" s="11"/>
    </row>
    <row r="24" customFormat="false" ht="25.5" hidden="false" customHeight="true" outlineLevel="0" collapsed="false">
      <c r="A24" s="11" t="str">
        <f aca="false">IF(B24="","","KI-"&amp;TEXT(ROW()-5,"000"))</f>
        <v/>
      </c>
      <c r="B24" s="11"/>
      <c r="C24" s="11"/>
      <c r="D24" s="11"/>
      <c r="E24" s="11"/>
      <c r="F24" s="11"/>
      <c r="G24" s="7"/>
      <c r="H24" s="7"/>
      <c r="I24" s="11"/>
      <c r="J24" s="11"/>
      <c r="K24" s="11"/>
    </row>
    <row r="25" customFormat="false" ht="25.5" hidden="false" customHeight="true" outlineLevel="0" collapsed="false">
      <c r="A25" s="11" t="str">
        <f aca="false">IF(B25="","","KI-"&amp;TEXT(ROW()-5,"000"))</f>
        <v/>
      </c>
      <c r="B25" s="11"/>
      <c r="C25" s="11"/>
      <c r="D25" s="11"/>
      <c r="E25" s="11"/>
      <c r="F25" s="11"/>
      <c r="G25" s="7"/>
      <c r="H25" s="7"/>
      <c r="I25" s="11"/>
      <c r="J25" s="11"/>
      <c r="K25" s="11"/>
    </row>
    <row r="26" customFormat="false" ht="25.5" hidden="false" customHeight="true" outlineLevel="0" collapsed="false">
      <c r="A26" s="11" t="str">
        <f aca="false">IF(B26="","","KI-"&amp;TEXT(ROW()-5,"000"))</f>
        <v/>
      </c>
      <c r="B26" s="11"/>
      <c r="C26" s="11"/>
      <c r="D26" s="11"/>
      <c r="E26" s="11"/>
      <c r="F26" s="11"/>
      <c r="G26" s="7"/>
      <c r="H26" s="7"/>
      <c r="I26" s="11"/>
      <c r="J26" s="11"/>
      <c r="K26" s="11"/>
    </row>
    <row r="27" customFormat="false" ht="25.5" hidden="false" customHeight="true" outlineLevel="0" collapsed="false">
      <c r="A27" s="11" t="str">
        <f aca="false">IF(B27="","","KI-"&amp;TEXT(ROW()-5,"000"))</f>
        <v/>
      </c>
      <c r="B27" s="11"/>
      <c r="C27" s="11"/>
      <c r="D27" s="11"/>
      <c r="E27" s="11"/>
      <c r="F27" s="11"/>
      <c r="G27" s="7"/>
      <c r="H27" s="7"/>
      <c r="I27" s="11"/>
      <c r="J27" s="11"/>
      <c r="K27" s="11"/>
    </row>
    <row r="28" customFormat="false" ht="25.5" hidden="false" customHeight="true" outlineLevel="0" collapsed="false">
      <c r="A28" s="11" t="str">
        <f aca="false">IF(B28="","","KI-"&amp;TEXT(ROW()-5,"000"))</f>
        <v/>
      </c>
      <c r="B28" s="11"/>
      <c r="C28" s="11"/>
      <c r="D28" s="11"/>
      <c r="E28" s="11"/>
      <c r="F28" s="11"/>
      <c r="G28" s="7"/>
      <c r="H28" s="7"/>
      <c r="I28" s="11"/>
      <c r="J28" s="11"/>
      <c r="K28" s="11"/>
    </row>
    <row r="29" customFormat="false" ht="25.5" hidden="false" customHeight="true" outlineLevel="0" collapsed="false">
      <c r="A29" s="11" t="str">
        <f aca="false">IF(B29="","","KI-"&amp;TEXT(ROW()-5,"000"))</f>
        <v/>
      </c>
      <c r="B29" s="11"/>
      <c r="C29" s="11"/>
      <c r="D29" s="11"/>
      <c r="E29" s="11"/>
      <c r="F29" s="11"/>
      <c r="G29" s="7"/>
      <c r="H29" s="7"/>
      <c r="I29" s="11"/>
      <c r="J29" s="11"/>
      <c r="K29" s="11"/>
    </row>
    <row r="30" customFormat="false" ht="25.5" hidden="false" customHeight="true" outlineLevel="0" collapsed="false">
      <c r="A30" s="11" t="str">
        <f aca="false">IF(B30="","","KI-"&amp;TEXT(ROW()-5,"000"))</f>
        <v/>
      </c>
      <c r="B30" s="11"/>
      <c r="C30" s="11"/>
      <c r="D30" s="11"/>
      <c r="E30" s="11"/>
      <c r="F30" s="11"/>
      <c r="G30" s="7"/>
      <c r="H30" s="7"/>
      <c r="I30" s="11"/>
      <c r="J30" s="11"/>
      <c r="K30" s="11"/>
    </row>
    <row r="31" customFormat="false" ht="25.5" hidden="false" customHeight="true" outlineLevel="0" collapsed="false">
      <c r="A31" s="11" t="str">
        <f aca="false">IF(B31="","","KI-"&amp;TEXT(ROW()-5,"000"))</f>
        <v/>
      </c>
      <c r="B31" s="11"/>
      <c r="C31" s="11"/>
      <c r="D31" s="11"/>
      <c r="E31" s="11"/>
      <c r="F31" s="11"/>
      <c r="G31" s="7"/>
      <c r="H31" s="7"/>
      <c r="I31" s="11"/>
      <c r="J31" s="11"/>
      <c r="K31" s="11"/>
    </row>
    <row r="32" customFormat="false" ht="25.5" hidden="false" customHeight="true" outlineLevel="0" collapsed="false">
      <c r="A32" s="11" t="str">
        <f aca="false">IF(B32="","","KI-"&amp;TEXT(ROW()-5,"000"))</f>
        <v/>
      </c>
      <c r="B32" s="11"/>
      <c r="C32" s="11"/>
      <c r="D32" s="11"/>
      <c r="E32" s="11"/>
      <c r="F32" s="11"/>
      <c r="G32" s="7"/>
      <c r="H32" s="7"/>
      <c r="I32" s="11"/>
      <c r="J32" s="11"/>
      <c r="K32" s="11"/>
    </row>
    <row r="33" customFormat="false" ht="25.5" hidden="false" customHeight="true" outlineLevel="0" collapsed="false">
      <c r="A33" s="11" t="str">
        <f aca="false">IF(B33="","","KI-"&amp;TEXT(ROW()-5,"000"))</f>
        <v/>
      </c>
      <c r="B33" s="11"/>
      <c r="C33" s="11"/>
      <c r="D33" s="11"/>
      <c r="E33" s="11"/>
      <c r="F33" s="11"/>
      <c r="G33" s="7"/>
      <c r="H33" s="7"/>
      <c r="I33" s="11"/>
      <c r="J33" s="11"/>
      <c r="K33" s="11"/>
    </row>
    <row r="34" customFormat="false" ht="25.5" hidden="false" customHeight="true" outlineLevel="0" collapsed="false">
      <c r="A34" s="11" t="str">
        <f aca="false">IF(B34="","","KI-"&amp;TEXT(ROW()-5,"000"))</f>
        <v/>
      </c>
      <c r="B34" s="11"/>
      <c r="C34" s="11"/>
      <c r="D34" s="11"/>
      <c r="E34" s="11"/>
      <c r="F34" s="11"/>
      <c r="G34" s="7"/>
      <c r="H34" s="7"/>
      <c r="I34" s="11"/>
      <c r="J34" s="11"/>
      <c r="K34" s="11"/>
    </row>
    <row r="35" customFormat="false" ht="25.5" hidden="false" customHeight="true" outlineLevel="0" collapsed="false">
      <c r="A35" s="11" t="str">
        <f aca="false">IF(B35="","","KI-"&amp;TEXT(ROW()-5,"000"))</f>
        <v/>
      </c>
      <c r="B35" s="11"/>
      <c r="C35" s="11"/>
      <c r="D35" s="11"/>
      <c r="E35" s="11"/>
      <c r="F35" s="11"/>
      <c r="G35" s="7"/>
      <c r="H35" s="7"/>
      <c r="I35" s="11"/>
      <c r="J35" s="11"/>
      <c r="K35" s="11"/>
    </row>
    <row r="36" customFormat="false" ht="25.5" hidden="false" customHeight="true" outlineLevel="0" collapsed="false">
      <c r="A36" s="11" t="str">
        <f aca="false">IF(B36="","","KI-"&amp;TEXT(ROW()-5,"000"))</f>
        <v/>
      </c>
      <c r="B36" s="11"/>
      <c r="C36" s="11"/>
      <c r="D36" s="11"/>
      <c r="E36" s="11"/>
      <c r="F36" s="11"/>
      <c r="G36" s="7"/>
      <c r="H36" s="7"/>
      <c r="I36" s="11"/>
      <c r="J36" s="11"/>
      <c r="K36" s="11"/>
    </row>
    <row r="37" customFormat="false" ht="25.5" hidden="false" customHeight="true" outlineLevel="0" collapsed="false">
      <c r="A37" s="11" t="str">
        <f aca="false">IF(B37="","","KI-"&amp;TEXT(ROW()-5,"000"))</f>
        <v/>
      </c>
      <c r="B37" s="11"/>
      <c r="C37" s="11"/>
      <c r="D37" s="11"/>
      <c r="E37" s="11"/>
      <c r="F37" s="11"/>
      <c r="G37" s="7"/>
      <c r="H37" s="7"/>
      <c r="I37" s="11"/>
      <c r="J37" s="11"/>
      <c r="K37" s="11"/>
    </row>
    <row r="38" customFormat="false" ht="25.5" hidden="false" customHeight="true" outlineLevel="0" collapsed="false">
      <c r="A38" s="11" t="str">
        <f aca="false">IF(B38="","","KI-"&amp;TEXT(ROW()-5,"000"))</f>
        <v/>
      </c>
      <c r="B38" s="11"/>
      <c r="C38" s="11"/>
      <c r="D38" s="11"/>
      <c r="E38" s="11"/>
      <c r="F38" s="11"/>
      <c r="G38" s="7"/>
      <c r="H38" s="7"/>
      <c r="I38" s="11"/>
      <c r="J38" s="11"/>
      <c r="K38" s="11"/>
    </row>
    <row r="39" customFormat="false" ht="25.5" hidden="false" customHeight="true" outlineLevel="0" collapsed="false">
      <c r="A39" s="11" t="str">
        <f aca="false">IF(B39="","","KI-"&amp;TEXT(ROW()-5,"000"))</f>
        <v/>
      </c>
      <c r="B39" s="11"/>
      <c r="C39" s="11"/>
      <c r="D39" s="11"/>
      <c r="E39" s="11"/>
      <c r="F39" s="11"/>
      <c r="G39" s="7"/>
      <c r="H39" s="7"/>
      <c r="I39" s="11"/>
      <c r="J39" s="11"/>
      <c r="K39" s="11"/>
    </row>
    <row r="40" customFormat="false" ht="25.5" hidden="false" customHeight="true" outlineLevel="0" collapsed="false">
      <c r="A40" s="11" t="str">
        <f aca="false">IF(B40="","","KI-"&amp;TEXT(ROW()-5,"000"))</f>
        <v/>
      </c>
      <c r="B40" s="11"/>
      <c r="C40" s="11"/>
      <c r="D40" s="11"/>
      <c r="E40" s="11"/>
      <c r="F40" s="11"/>
      <c r="G40" s="7"/>
      <c r="H40" s="7"/>
      <c r="I40" s="11"/>
      <c r="J40" s="11"/>
      <c r="K40" s="11"/>
    </row>
    <row r="41" customFormat="false" ht="25.5" hidden="false" customHeight="true" outlineLevel="0" collapsed="false">
      <c r="A41" s="11" t="str">
        <f aca="false">IF(B41="","","KI-"&amp;TEXT(ROW()-5,"000"))</f>
        <v/>
      </c>
      <c r="B41" s="11"/>
      <c r="C41" s="11"/>
      <c r="D41" s="11"/>
      <c r="E41" s="11"/>
      <c r="F41" s="11"/>
      <c r="G41" s="7"/>
      <c r="H41" s="7"/>
      <c r="I41" s="11"/>
      <c r="J41" s="11"/>
      <c r="K41" s="11"/>
    </row>
    <row r="42" customFormat="false" ht="25.5" hidden="false" customHeight="true" outlineLevel="0" collapsed="false">
      <c r="A42" s="11" t="str">
        <f aca="false">IF(B42="","","KI-"&amp;TEXT(ROW()-5,"000"))</f>
        <v/>
      </c>
      <c r="B42" s="11"/>
      <c r="C42" s="11"/>
      <c r="D42" s="11"/>
      <c r="E42" s="11"/>
      <c r="F42" s="11"/>
      <c r="G42" s="7"/>
      <c r="H42" s="7"/>
      <c r="I42" s="11"/>
      <c r="J42" s="11"/>
      <c r="K42" s="11"/>
    </row>
    <row r="43" customFormat="false" ht="25.5" hidden="false" customHeight="true" outlineLevel="0" collapsed="false">
      <c r="A43" s="11" t="str">
        <f aca="false">IF(B43="","","KI-"&amp;TEXT(ROW()-5,"000"))</f>
        <v/>
      </c>
      <c r="B43" s="11"/>
      <c r="C43" s="11"/>
      <c r="D43" s="11"/>
      <c r="E43" s="11"/>
      <c r="F43" s="11"/>
      <c r="G43" s="7"/>
      <c r="H43" s="7"/>
      <c r="I43" s="11"/>
      <c r="J43" s="11"/>
      <c r="K43" s="11"/>
    </row>
    <row r="44" customFormat="false" ht="25.5" hidden="false" customHeight="true" outlineLevel="0" collapsed="false">
      <c r="A44" s="11" t="str">
        <f aca="false">IF(B44="","","KI-"&amp;TEXT(ROW()-5,"000"))</f>
        <v/>
      </c>
      <c r="B44" s="11"/>
      <c r="C44" s="11"/>
      <c r="D44" s="11"/>
      <c r="E44" s="11"/>
      <c r="F44" s="11"/>
      <c r="G44" s="7"/>
      <c r="H44" s="7"/>
      <c r="I44" s="11"/>
      <c r="J44" s="11"/>
      <c r="K44" s="11"/>
    </row>
    <row r="45" customFormat="false" ht="25.5" hidden="false" customHeight="true" outlineLevel="0" collapsed="false">
      <c r="A45" s="11" t="str">
        <f aca="false">IF(B45="","","KI-"&amp;TEXT(ROW()-5,"000"))</f>
        <v/>
      </c>
      <c r="B45" s="11"/>
      <c r="C45" s="11"/>
      <c r="D45" s="11"/>
      <c r="E45" s="11"/>
      <c r="F45" s="11"/>
      <c r="G45" s="7"/>
      <c r="H45" s="7"/>
      <c r="I45" s="11"/>
      <c r="J45" s="11"/>
      <c r="K45" s="11"/>
    </row>
    <row r="46" customFormat="false" ht="25.5" hidden="false" customHeight="true" outlineLevel="0" collapsed="false">
      <c r="A46" s="11" t="str">
        <f aca="false">IF(B46="","","KI-"&amp;TEXT(ROW()-5,"000"))</f>
        <v/>
      </c>
      <c r="B46" s="11"/>
      <c r="C46" s="11"/>
      <c r="D46" s="11"/>
      <c r="E46" s="11"/>
      <c r="F46" s="11"/>
      <c r="G46" s="7"/>
      <c r="H46" s="7"/>
      <c r="I46" s="11"/>
      <c r="J46" s="11"/>
      <c r="K46" s="11"/>
    </row>
    <row r="47" customFormat="false" ht="25.5" hidden="false" customHeight="true" outlineLevel="0" collapsed="false">
      <c r="A47" s="11" t="str">
        <f aca="false">IF(B47="","","KI-"&amp;TEXT(ROW()-5,"000"))</f>
        <v/>
      </c>
      <c r="B47" s="11"/>
      <c r="C47" s="11"/>
      <c r="D47" s="11"/>
      <c r="E47" s="11"/>
      <c r="F47" s="11"/>
      <c r="G47" s="7"/>
      <c r="H47" s="7"/>
      <c r="I47" s="11"/>
      <c r="J47" s="11"/>
      <c r="K47" s="11"/>
    </row>
    <row r="48" customFormat="false" ht="25.5" hidden="false" customHeight="true" outlineLevel="0" collapsed="false">
      <c r="A48" s="11" t="str">
        <f aca="false">IF(B48="","","KI-"&amp;TEXT(ROW()-5,"000"))</f>
        <v/>
      </c>
      <c r="B48" s="11"/>
      <c r="C48" s="11"/>
      <c r="D48" s="11"/>
      <c r="E48" s="11"/>
      <c r="F48" s="11"/>
      <c r="G48" s="7"/>
      <c r="H48" s="7"/>
      <c r="I48" s="11"/>
      <c r="J48" s="11"/>
      <c r="K48" s="11"/>
    </row>
    <row r="49" customFormat="false" ht="25.5" hidden="false" customHeight="true" outlineLevel="0" collapsed="false">
      <c r="A49" s="11" t="str">
        <f aca="false">IF(B49="","","KI-"&amp;TEXT(ROW()-5,"000"))</f>
        <v/>
      </c>
      <c r="B49" s="11"/>
      <c r="C49" s="11"/>
      <c r="D49" s="11"/>
      <c r="E49" s="11"/>
      <c r="F49" s="11"/>
      <c r="G49" s="7"/>
      <c r="H49" s="7"/>
      <c r="I49" s="11"/>
      <c r="J49" s="11"/>
      <c r="K49" s="11"/>
    </row>
    <row r="50" customFormat="false" ht="25.5" hidden="false" customHeight="true" outlineLevel="0" collapsed="false">
      <c r="A50" s="11" t="str">
        <f aca="false">IF(B50="","","KI-"&amp;TEXT(ROW()-5,"000"))</f>
        <v/>
      </c>
      <c r="B50" s="11"/>
      <c r="C50" s="11"/>
      <c r="D50" s="11"/>
      <c r="E50" s="11"/>
      <c r="F50" s="11"/>
      <c r="G50" s="7"/>
      <c r="H50" s="7"/>
      <c r="I50" s="11"/>
      <c r="J50" s="11"/>
      <c r="K50" s="11"/>
    </row>
    <row r="51" customFormat="false" ht="25.5" hidden="false" customHeight="true" outlineLevel="0" collapsed="false">
      <c r="A51" s="11" t="str">
        <f aca="false">IF(B51="","","KI-"&amp;TEXT(ROW()-5,"000"))</f>
        <v/>
      </c>
      <c r="B51" s="11"/>
      <c r="C51" s="11"/>
      <c r="D51" s="11"/>
      <c r="E51" s="11"/>
      <c r="F51" s="11"/>
      <c r="G51" s="7"/>
      <c r="H51" s="7"/>
      <c r="I51" s="11"/>
      <c r="J51" s="11"/>
      <c r="K51" s="11"/>
    </row>
    <row r="52" customFormat="false" ht="25.5" hidden="false" customHeight="true" outlineLevel="0" collapsed="false">
      <c r="A52" s="11" t="str">
        <f aca="false">IF(B52="","","KI-"&amp;TEXT(ROW()-5,"000"))</f>
        <v/>
      </c>
      <c r="B52" s="11"/>
      <c r="C52" s="11"/>
      <c r="D52" s="11"/>
      <c r="E52" s="11"/>
      <c r="F52" s="11"/>
      <c r="G52" s="7"/>
      <c r="H52" s="7"/>
      <c r="I52" s="11"/>
      <c r="J52" s="11"/>
      <c r="K52" s="11"/>
    </row>
    <row r="53" customFormat="false" ht="25.5" hidden="false" customHeight="true" outlineLevel="0" collapsed="false">
      <c r="A53" s="11" t="str">
        <f aca="false">IF(B53="","","KI-"&amp;TEXT(ROW()-5,"000"))</f>
        <v/>
      </c>
      <c r="B53" s="11"/>
      <c r="C53" s="11"/>
      <c r="D53" s="11"/>
      <c r="E53" s="11"/>
      <c r="F53" s="11"/>
      <c r="G53" s="7"/>
      <c r="H53" s="7"/>
      <c r="I53" s="11"/>
      <c r="J53" s="11"/>
      <c r="K53" s="11"/>
    </row>
    <row r="54" customFormat="false" ht="25.5" hidden="false" customHeight="true" outlineLevel="0" collapsed="false">
      <c r="A54" s="11" t="str">
        <f aca="false">IF(B54="","","KI-"&amp;TEXT(ROW()-5,"000"))</f>
        <v/>
      </c>
      <c r="B54" s="11"/>
      <c r="C54" s="11"/>
      <c r="D54" s="11"/>
      <c r="E54" s="11"/>
      <c r="F54" s="11"/>
      <c r="G54" s="7"/>
      <c r="H54" s="7"/>
      <c r="I54" s="11"/>
      <c r="J54" s="11"/>
      <c r="K54" s="11"/>
    </row>
    <row r="55" customFormat="false" ht="25.5" hidden="false" customHeight="true" outlineLevel="0" collapsed="false">
      <c r="A55" s="11" t="str">
        <f aca="false">IF(B55="","","KI-"&amp;TEXT(ROW()-5,"000"))</f>
        <v/>
      </c>
      <c r="B55" s="11"/>
      <c r="C55" s="11"/>
      <c r="D55" s="11"/>
      <c r="E55" s="11"/>
      <c r="F55" s="11"/>
      <c r="G55" s="7"/>
      <c r="H55" s="7"/>
      <c r="I55" s="11"/>
      <c r="J55" s="11"/>
      <c r="K55" s="11"/>
    </row>
    <row r="56" customFormat="false" ht="25.5" hidden="false" customHeight="true" outlineLevel="0" collapsed="false">
      <c r="A56" s="11" t="str">
        <f aca="false">IF(B56="","","KI-"&amp;TEXT(ROW()-5,"000"))</f>
        <v/>
      </c>
      <c r="B56" s="11"/>
      <c r="C56" s="11"/>
      <c r="D56" s="11"/>
      <c r="E56" s="11"/>
      <c r="F56" s="11"/>
      <c r="G56" s="7"/>
      <c r="H56" s="7"/>
      <c r="I56" s="11"/>
      <c r="J56" s="11"/>
      <c r="K56" s="11"/>
    </row>
    <row r="57" customFormat="false" ht="25.5" hidden="false" customHeight="true" outlineLevel="0" collapsed="false">
      <c r="A57" s="11" t="str">
        <f aca="false">IF(B57="","","KI-"&amp;TEXT(ROW()-5,"000"))</f>
        <v/>
      </c>
      <c r="B57" s="11"/>
      <c r="C57" s="11"/>
      <c r="D57" s="11"/>
      <c r="E57" s="11"/>
      <c r="F57" s="11"/>
      <c r="G57" s="7"/>
      <c r="H57" s="7"/>
      <c r="I57" s="11"/>
      <c r="J57" s="11"/>
      <c r="K57" s="11"/>
    </row>
    <row r="58" customFormat="false" ht="25.5" hidden="false" customHeight="true" outlineLevel="0" collapsed="false">
      <c r="A58" s="11" t="str">
        <f aca="false">IF(B58="","","KI-"&amp;TEXT(ROW()-5,"000"))</f>
        <v/>
      </c>
      <c r="B58" s="11"/>
      <c r="C58" s="11"/>
      <c r="D58" s="11"/>
      <c r="E58" s="11"/>
      <c r="F58" s="11"/>
      <c r="G58" s="7"/>
      <c r="H58" s="7"/>
      <c r="I58" s="11"/>
      <c r="J58" s="11"/>
      <c r="K58" s="11"/>
    </row>
    <row r="59" customFormat="false" ht="25.5" hidden="false" customHeight="true" outlineLevel="0" collapsed="false">
      <c r="A59" s="11" t="str">
        <f aca="false">IF(B59="","","KI-"&amp;TEXT(ROW()-5,"000"))</f>
        <v/>
      </c>
      <c r="B59" s="11"/>
      <c r="C59" s="11"/>
      <c r="D59" s="11"/>
      <c r="E59" s="11"/>
      <c r="F59" s="11"/>
      <c r="G59" s="7"/>
      <c r="H59" s="7"/>
      <c r="I59" s="11"/>
      <c r="J59" s="11"/>
      <c r="K59" s="11"/>
    </row>
    <row r="60" customFormat="false" ht="25.5" hidden="false" customHeight="true" outlineLevel="0" collapsed="false">
      <c r="A60" s="11" t="str">
        <f aca="false">IF(B60="","","KI-"&amp;TEXT(ROW()-5,"000"))</f>
        <v/>
      </c>
      <c r="B60" s="11"/>
      <c r="C60" s="11"/>
      <c r="D60" s="11"/>
      <c r="E60" s="11"/>
      <c r="F60" s="11"/>
      <c r="G60" s="7"/>
      <c r="H60" s="7"/>
      <c r="I60" s="11"/>
      <c r="J60" s="11"/>
      <c r="K60" s="11"/>
    </row>
    <row r="61" customFormat="false" ht="25.5" hidden="false" customHeight="true" outlineLevel="0" collapsed="false">
      <c r="A61" s="11" t="str">
        <f aca="false">IF(B61="","","KI-"&amp;TEXT(ROW()-5,"000"))</f>
        <v/>
      </c>
      <c r="B61" s="11"/>
      <c r="C61" s="11"/>
      <c r="D61" s="11"/>
      <c r="E61" s="11"/>
      <c r="F61" s="11"/>
      <c r="G61" s="7"/>
      <c r="H61" s="7"/>
      <c r="I61" s="11"/>
      <c r="J61" s="11"/>
      <c r="K61" s="11"/>
    </row>
    <row r="62" customFormat="false" ht="25.5" hidden="false" customHeight="true" outlineLevel="0" collapsed="false">
      <c r="A62" s="11" t="str">
        <f aca="false">IF(B62="","","KI-"&amp;TEXT(ROW()-5,"000"))</f>
        <v/>
      </c>
      <c r="B62" s="11"/>
      <c r="C62" s="11"/>
      <c r="D62" s="11"/>
      <c r="E62" s="11"/>
      <c r="F62" s="11"/>
      <c r="G62" s="7"/>
      <c r="H62" s="7"/>
      <c r="I62" s="11"/>
      <c r="J62" s="11"/>
      <c r="K62" s="11"/>
    </row>
    <row r="63" customFormat="false" ht="25.5" hidden="false" customHeight="true" outlineLevel="0" collapsed="false">
      <c r="A63" s="11" t="str">
        <f aca="false">IF(B63="","","KI-"&amp;TEXT(ROW()-5,"000"))</f>
        <v/>
      </c>
      <c r="B63" s="11"/>
      <c r="C63" s="11"/>
      <c r="D63" s="11"/>
      <c r="E63" s="11"/>
      <c r="F63" s="11"/>
      <c r="G63" s="7"/>
      <c r="H63" s="7"/>
      <c r="I63" s="11"/>
      <c r="J63" s="11"/>
      <c r="K63" s="11"/>
    </row>
    <row r="64" customFormat="false" ht="25.5" hidden="false" customHeight="true" outlineLevel="0" collapsed="false">
      <c r="A64" s="11" t="str">
        <f aca="false">IF(B64="","","KI-"&amp;TEXT(ROW()-5,"000"))</f>
        <v/>
      </c>
      <c r="B64" s="11"/>
      <c r="C64" s="11"/>
      <c r="D64" s="11"/>
      <c r="E64" s="11"/>
      <c r="F64" s="11"/>
      <c r="G64" s="7"/>
      <c r="H64" s="7"/>
      <c r="I64" s="11"/>
      <c r="J64" s="11"/>
      <c r="K64" s="11"/>
    </row>
    <row r="65" customFormat="false" ht="25.5" hidden="false" customHeight="true" outlineLevel="0" collapsed="false">
      <c r="A65" s="11" t="str">
        <f aca="false">IF(B65="","","KI-"&amp;TEXT(ROW()-5,"000"))</f>
        <v/>
      </c>
      <c r="B65" s="11"/>
      <c r="C65" s="11"/>
      <c r="D65" s="11"/>
      <c r="E65" s="11"/>
      <c r="F65" s="11"/>
      <c r="G65" s="7"/>
      <c r="H65" s="7"/>
      <c r="I65" s="11"/>
      <c r="J65" s="11"/>
      <c r="K65" s="11"/>
    </row>
  </sheetData>
  <mergeCells count="2">
    <mergeCell ref="A1:K1"/>
    <mergeCell ref="A2:K2"/>
  </mergeCells>
  <dataValidations count="2">
    <dataValidation allowBlank="true" error="Bitte einen Wert aus der Liste wählen. Freitext führt zu falschen Einstufungen." errorStyle="stop" errorTitle="Ungültige Eingabe" operator="between" showDropDown="false" showErrorMessage="true" showInputMessage="false" sqref="G6:G65" type="list">
      <formula1>'08_Register'!$I$5:$I$9</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H6:H65" type="list">
      <formula1>"geplant,im Test,produktiv,abgelöst"</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28"/>
    <col collapsed="false" customWidth="true" hidden="false" outlineLevel="0" max="6" min="4" style="0" width="20"/>
    <col collapsed="false" customWidth="true" hidden="false" outlineLevel="0" max="7" min="7" style="0" width="22"/>
    <col collapsed="false" customWidth="true" hidden="false" outlineLevel="0" max="9" min="8" style="0" width="24"/>
    <col collapsed="false" customWidth="true" hidden="false" outlineLevel="0" max="10" min="10" style="0" width="46"/>
    <col collapsed="false" customWidth="true" hidden="false" outlineLevel="0" max="11" min="11" style="0" width="13"/>
    <col collapsed="false" customWidth="true" hidden="false" outlineLevel="0" max="12" min="12" style="0" width="18"/>
  </cols>
  <sheetData>
    <row r="1" customFormat="false" ht="24" hidden="false" customHeight="true" outlineLevel="0" collapsed="false">
      <c r="A1" s="1" t="s">
        <v>81</v>
      </c>
      <c r="B1" s="1"/>
      <c r="C1" s="1"/>
      <c r="D1" s="1"/>
      <c r="E1" s="1"/>
      <c r="F1" s="1"/>
      <c r="G1" s="1"/>
      <c r="H1" s="1"/>
      <c r="I1" s="1"/>
      <c r="J1" s="1"/>
      <c r="K1" s="1"/>
    </row>
    <row r="2" customFormat="false" ht="15" hidden="false" customHeight="false" outlineLevel="0" collapsed="false">
      <c r="A2" s="2" t="s">
        <v>82</v>
      </c>
      <c r="B2" s="2"/>
      <c r="C2" s="2"/>
      <c r="D2" s="2"/>
      <c r="E2" s="2"/>
      <c r="F2" s="2"/>
      <c r="G2" s="2"/>
      <c r="H2" s="2"/>
      <c r="I2" s="2"/>
      <c r="J2" s="2"/>
      <c r="K2" s="2"/>
    </row>
    <row r="5" customFormat="false" ht="69.75" hidden="false" customHeight="true" outlineLevel="0" collapsed="false">
      <c r="A5" s="9" t="s">
        <v>59</v>
      </c>
      <c r="B5" s="9" t="s">
        <v>83</v>
      </c>
      <c r="C5" s="9" t="s">
        <v>84</v>
      </c>
      <c r="D5" s="9" t="s">
        <v>85</v>
      </c>
      <c r="E5" s="9" t="s">
        <v>86</v>
      </c>
      <c r="F5" s="9" t="s">
        <v>87</v>
      </c>
      <c r="G5" s="9" t="s">
        <v>88</v>
      </c>
      <c r="H5" s="9" t="s">
        <v>89</v>
      </c>
      <c r="I5" s="9" t="s">
        <v>90</v>
      </c>
      <c r="J5" s="9" t="s">
        <v>91</v>
      </c>
      <c r="K5" s="9" t="s">
        <v>92</v>
      </c>
      <c r="L5" s="9" t="s">
        <v>93</v>
      </c>
    </row>
    <row r="6" customFormat="false" ht="25.5" hidden="false" customHeight="true" outlineLevel="0" collapsed="false">
      <c r="A6" s="10" t="s">
        <v>70</v>
      </c>
      <c r="B6" s="12" t="str">
        <f aca="false">IFERROR(INDEX('01_KI-Inventar'!$B$6:$B$65,MATCH(A6,'01_KI-Inventar'!$A$6:$A$65,0)),"")</f>
        <v>Bewerber-Vorauswahl (Beispiel)</v>
      </c>
      <c r="C6" s="10" t="s">
        <v>94</v>
      </c>
      <c r="D6" s="10" t="s">
        <v>95</v>
      </c>
      <c r="E6" s="10" t="s">
        <v>94</v>
      </c>
      <c r="F6" s="10" t="s">
        <v>94</v>
      </c>
      <c r="G6" s="10" t="s">
        <v>95</v>
      </c>
      <c r="H6" s="10" t="s">
        <v>94</v>
      </c>
      <c r="I6" s="12" t="str">
        <f aca="false">IF(A6="","",IF(OR(C6="Ja",E6="Ja",F6="Ja",G6="Ja",H6="Ja"),IF(D6="Ja","Anbieter und Betreiber","Anbieter"),IF(D6="Ja","Betreiber",IF(COUNTA(C6:H6)=6,"keine Anbieter-/Betreiberrolle","noch offen"))))</f>
        <v>Anbieter und Betreiber</v>
      </c>
      <c r="J6" s="12" t="str">
        <f aca="false">IF(A6="","",IF(OR(E6="Ja",F6="Ja",G6="Ja",H6="Ja"),IF(D6="Ja","Rollenwechsel nach Art. 25 — Anbieterpflichten (Art. 16) UND Betreiberpflichten (Art. 26)","Rollenwechsel nach Art. 25 — volle Anbieterpflichten nach Art. 16"),IF(AND(C6="Ja",D6="Ja"),"Anbieterpflichten (Art. 16) UND Betreiberpflichten (Art. 26)",IF(C6="Ja","Anbieterpflichten nach Art. 16",IF(D6="Ja","Betreiberpflichten nach Art. 26",IF(COUNTA(C6:H6)=6,"keine Anbieter-/Betreiberrolle — Einführer-/Händlerpflichten (Art. 23, 24) prüfen","noch offen — bitte alle Fragen beantworten"))))))</f>
        <v>Rollenwechsel nach Art. 25 — Anbieterpflichten (Art. 16) UND Betreiberpflichten (Art. 26)</v>
      </c>
      <c r="K6" s="13" t="n">
        <f aca="true">TODAY()</f>
        <v>46232</v>
      </c>
      <c r="L6" s="10" t="s">
        <v>80</v>
      </c>
    </row>
    <row r="7" customFormat="false" ht="25.5" hidden="false" customHeight="true" outlineLevel="0" collapsed="false">
      <c r="A7" s="7"/>
      <c r="B7" s="12" t="n">
        <f aca="false">IFERROR(INDEX('01_KI-Inventar'!$B$6:$B$65,MATCH(A7,'01_KI-Inventar'!$A$6:$A$65,0)),"")</f>
        <v>0</v>
      </c>
      <c r="C7" s="7"/>
      <c r="D7" s="7"/>
      <c r="E7" s="7"/>
      <c r="F7" s="7"/>
      <c r="G7" s="7"/>
      <c r="H7" s="7"/>
      <c r="I7" s="12" t="str">
        <f aca="false">IF(A7="","",IF(OR(C7="Ja",E7="Ja",F7="Ja",G7="Ja",H7="Ja"),IF(D7="Ja","Anbieter und Betreiber","Anbieter"),IF(D7="Ja","Betreiber",IF(COUNTA(C7:H7)=6,"keine Anbieter-/Betreiberrolle","noch offen"))))</f>
        <v/>
      </c>
      <c r="J7" s="12" t="str">
        <f aca="false">IF(A7="","",IF(OR(E7="Ja",F7="Ja",G7="Ja",H7="Ja"),IF(D7="Ja","Rollenwechsel nach Art. 25 — Anbieterpflichten (Art. 16) UND Betreiberpflichten (Art. 26)","Rollenwechsel nach Art. 25 — volle Anbieterpflichten nach Art. 16"),IF(AND(C7="Ja",D7="Ja"),"Anbieterpflichten (Art. 16) UND Betreiberpflichten (Art. 26)",IF(C7="Ja","Anbieterpflichten nach Art. 16",IF(D7="Ja","Betreiberpflichten nach Art. 26",IF(COUNTA(C7:H7)=6,"keine Anbieter-/Betreiberrolle — Einführer-/Händlerpflichten (Art. 23, 24) prüfen","noch offen — bitte alle Fragen beantworten"))))))</f>
        <v/>
      </c>
      <c r="K7" s="13"/>
      <c r="L7" s="11"/>
    </row>
    <row r="8" customFormat="false" ht="25.5" hidden="false" customHeight="true" outlineLevel="0" collapsed="false">
      <c r="A8" s="7"/>
      <c r="B8" s="12" t="n">
        <f aca="false">IFERROR(INDEX('01_KI-Inventar'!$B$6:$B$65,MATCH(A8,'01_KI-Inventar'!$A$6:$A$65,0)),"")</f>
        <v>0</v>
      </c>
      <c r="C8" s="7"/>
      <c r="D8" s="7"/>
      <c r="E8" s="7"/>
      <c r="F8" s="7"/>
      <c r="G8" s="7"/>
      <c r="H8" s="7"/>
      <c r="I8" s="12" t="str">
        <f aca="false">IF(A8="","",IF(OR(C8="Ja",E8="Ja",F8="Ja",G8="Ja",H8="Ja"),IF(D8="Ja","Anbieter und Betreiber","Anbieter"),IF(D8="Ja","Betreiber",IF(COUNTA(C8:H8)=6,"keine Anbieter-/Betreiberrolle","noch offen"))))</f>
        <v/>
      </c>
      <c r="J8" s="12" t="str">
        <f aca="false">IF(A8="","",IF(OR(E8="Ja",F8="Ja",G8="Ja",H8="Ja"),IF(D8="Ja","Rollenwechsel nach Art. 25 — Anbieterpflichten (Art. 16) UND Betreiberpflichten (Art. 26)","Rollenwechsel nach Art. 25 — volle Anbieterpflichten nach Art. 16"),IF(AND(C8="Ja",D8="Ja"),"Anbieterpflichten (Art. 16) UND Betreiberpflichten (Art. 26)",IF(C8="Ja","Anbieterpflichten nach Art. 16",IF(D8="Ja","Betreiberpflichten nach Art. 26",IF(COUNTA(C8:H8)=6,"keine Anbieter-/Betreiberrolle — Einführer-/Händlerpflichten (Art. 23, 24) prüfen","noch offen — bitte alle Fragen beantworten"))))))</f>
        <v/>
      </c>
      <c r="K8" s="13"/>
      <c r="L8" s="11"/>
    </row>
    <row r="9" customFormat="false" ht="25.5" hidden="false" customHeight="true" outlineLevel="0" collapsed="false">
      <c r="A9" s="7"/>
      <c r="B9" s="12" t="n">
        <f aca="false">IFERROR(INDEX('01_KI-Inventar'!$B$6:$B$65,MATCH(A9,'01_KI-Inventar'!$A$6:$A$65,0)),"")</f>
        <v>0</v>
      </c>
      <c r="C9" s="7"/>
      <c r="D9" s="7"/>
      <c r="E9" s="7"/>
      <c r="F9" s="7"/>
      <c r="G9" s="7"/>
      <c r="H9" s="7"/>
      <c r="I9" s="12" t="str">
        <f aca="false">IF(A9="","",IF(OR(C9="Ja",E9="Ja",F9="Ja",G9="Ja",H9="Ja"),IF(D9="Ja","Anbieter und Betreiber","Anbieter"),IF(D9="Ja","Betreiber",IF(COUNTA(C9:H9)=6,"keine Anbieter-/Betreiberrolle","noch offen"))))</f>
        <v/>
      </c>
      <c r="J9" s="12" t="str">
        <f aca="false">IF(A9="","",IF(OR(E9="Ja",F9="Ja",G9="Ja",H9="Ja"),IF(D9="Ja","Rollenwechsel nach Art. 25 — Anbieterpflichten (Art. 16) UND Betreiberpflichten (Art. 26)","Rollenwechsel nach Art. 25 — volle Anbieterpflichten nach Art. 16"),IF(AND(C9="Ja",D9="Ja"),"Anbieterpflichten (Art. 16) UND Betreiberpflichten (Art. 26)",IF(C9="Ja","Anbieterpflichten nach Art. 16",IF(D9="Ja","Betreiberpflichten nach Art. 26",IF(COUNTA(C9:H9)=6,"keine Anbieter-/Betreiberrolle — Einführer-/Händlerpflichten (Art. 23, 24) prüfen","noch offen — bitte alle Fragen beantworten"))))))</f>
        <v/>
      </c>
      <c r="K9" s="13"/>
      <c r="L9" s="11"/>
    </row>
    <row r="10" customFormat="false" ht="25.5" hidden="false" customHeight="true" outlineLevel="0" collapsed="false">
      <c r="A10" s="7"/>
      <c r="B10" s="12" t="n">
        <f aca="false">IFERROR(INDEX('01_KI-Inventar'!$B$6:$B$65,MATCH(A10,'01_KI-Inventar'!$A$6:$A$65,0)),"")</f>
        <v>0</v>
      </c>
      <c r="C10" s="7"/>
      <c r="D10" s="7"/>
      <c r="E10" s="7"/>
      <c r="F10" s="7"/>
      <c r="G10" s="7"/>
      <c r="H10" s="7"/>
      <c r="I10" s="12" t="str">
        <f aca="false">IF(A10="","",IF(OR(C10="Ja",E10="Ja",F10="Ja",G10="Ja",H10="Ja"),IF(D10="Ja","Anbieter und Betreiber","Anbieter"),IF(D10="Ja","Betreiber",IF(COUNTA(C10:H10)=6,"keine Anbieter-/Betreiberrolle","noch offen"))))</f>
        <v/>
      </c>
      <c r="J10" s="12" t="str">
        <f aca="false">IF(A10="","",IF(OR(E10="Ja",F10="Ja",G10="Ja",H10="Ja"),IF(D10="Ja","Rollenwechsel nach Art. 25 — Anbieterpflichten (Art. 16) UND Betreiberpflichten (Art. 26)","Rollenwechsel nach Art. 25 — volle Anbieterpflichten nach Art. 16"),IF(AND(C10="Ja",D10="Ja"),"Anbieterpflichten (Art. 16) UND Betreiberpflichten (Art. 26)",IF(C10="Ja","Anbieterpflichten nach Art. 16",IF(D10="Ja","Betreiberpflichten nach Art. 26",IF(COUNTA(C10:H10)=6,"keine Anbieter-/Betreiberrolle — Einführer-/Händlerpflichten (Art. 23, 24) prüfen","noch offen — bitte alle Fragen beantworten"))))))</f>
        <v/>
      </c>
      <c r="K10" s="13"/>
      <c r="L10" s="11"/>
    </row>
    <row r="11" customFormat="false" ht="25.5" hidden="false" customHeight="true" outlineLevel="0" collapsed="false">
      <c r="A11" s="7"/>
      <c r="B11" s="12" t="n">
        <f aca="false">IFERROR(INDEX('01_KI-Inventar'!$B$6:$B$65,MATCH(A11,'01_KI-Inventar'!$A$6:$A$65,0)),"")</f>
        <v>0</v>
      </c>
      <c r="C11" s="7"/>
      <c r="D11" s="7"/>
      <c r="E11" s="7"/>
      <c r="F11" s="7"/>
      <c r="G11" s="7"/>
      <c r="H11" s="7"/>
      <c r="I11" s="12" t="str">
        <f aca="false">IF(A11="","",IF(OR(C11="Ja",E11="Ja",F11="Ja",G11="Ja",H11="Ja"),IF(D11="Ja","Anbieter und Betreiber","Anbieter"),IF(D11="Ja","Betreiber",IF(COUNTA(C11:H11)=6,"keine Anbieter-/Betreiberrolle","noch offen"))))</f>
        <v/>
      </c>
      <c r="J11" s="12" t="str">
        <f aca="false">IF(A11="","",IF(OR(E11="Ja",F11="Ja",G11="Ja",H11="Ja"),IF(D11="Ja","Rollenwechsel nach Art. 25 — Anbieterpflichten (Art. 16) UND Betreiberpflichten (Art. 26)","Rollenwechsel nach Art. 25 — volle Anbieterpflichten nach Art. 16"),IF(AND(C11="Ja",D11="Ja"),"Anbieterpflichten (Art. 16) UND Betreiberpflichten (Art. 26)",IF(C11="Ja","Anbieterpflichten nach Art. 16",IF(D11="Ja","Betreiberpflichten nach Art. 26",IF(COUNTA(C11:H11)=6,"keine Anbieter-/Betreiberrolle — Einführer-/Händlerpflichten (Art. 23, 24) prüfen","noch offen — bitte alle Fragen beantworten"))))))</f>
        <v/>
      </c>
      <c r="K11" s="13"/>
      <c r="L11" s="11"/>
    </row>
    <row r="12" customFormat="false" ht="25.5" hidden="false" customHeight="true" outlineLevel="0" collapsed="false">
      <c r="A12" s="7"/>
      <c r="B12" s="12" t="n">
        <f aca="false">IFERROR(INDEX('01_KI-Inventar'!$B$6:$B$65,MATCH(A12,'01_KI-Inventar'!$A$6:$A$65,0)),"")</f>
        <v>0</v>
      </c>
      <c r="C12" s="7"/>
      <c r="D12" s="7"/>
      <c r="E12" s="7"/>
      <c r="F12" s="7"/>
      <c r="G12" s="7"/>
      <c r="H12" s="7"/>
      <c r="I12" s="12" t="str">
        <f aca="false">IF(A12="","",IF(OR(C12="Ja",E12="Ja",F12="Ja",G12="Ja",H12="Ja"),IF(D12="Ja","Anbieter und Betreiber","Anbieter"),IF(D12="Ja","Betreiber",IF(COUNTA(C12:H12)=6,"keine Anbieter-/Betreiberrolle","noch offen"))))</f>
        <v/>
      </c>
      <c r="J12" s="12" t="str">
        <f aca="false">IF(A12="","",IF(OR(E12="Ja",F12="Ja",G12="Ja",H12="Ja"),IF(D12="Ja","Rollenwechsel nach Art. 25 — Anbieterpflichten (Art. 16) UND Betreiberpflichten (Art. 26)","Rollenwechsel nach Art. 25 — volle Anbieterpflichten nach Art. 16"),IF(AND(C12="Ja",D12="Ja"),"Anbieterpflichten (Art. 16) UND Betreiberpflichten (Art. 26)",IF(C12="Ja","Anbieterpflichten nach Art. 16",IF(D12="Ja","Betreiberpflichten nach Art. 26",IF(COUNTA(C12:H12)=6,"keine Anbieter-/Betreiberrolle — Einführer-/Händlerpflichten (Art. 23, 24) prüfen","noch offen — bitte alle Fragen beantworten"))))))</f>
        <v/>
      </c>
      <c r="K12" s="13"/>
      <c r="L12" s="11"/>
    </row>
    <row r="13" customFormat="false" ht="25.5" hidden="false" customHeight="true" outlineLevel="0" collapsed="false">
      <c r="A13" s="7"/>
      <c r="B13" s="12" t="n">
        <f aca="false">IFERROR(INDEX('01_KI-Inventar'!$B$6:$B$65,MATCH(A13,'01_KI-Inventar'!$A$6:$A$65,0)),"")</f>
        <v>0</v>
      </c>
      <c r="C13" s="7"/>
      <c r="D13" s="7"/>
      <c r="E13" s="7"/>
      <c r="F13" s="7"/>
      <c r="G13" s="7"/>
      <c r="H13" s="7"/>
      <c r="I13" s="12" t="str">
        <f aca="false">IF(A13="","",IF(OR(C13="Ja",E13="Ja",F13="Ja",G13="Ja",H13="Ja"),IF(D13="Ja","Anbieter und Betreiber","Anbieter"),IF(D13="Ja","Betreiber",IF(COUNTA(C13:H13)=6,"keine Anbieter-/Betreiberrolle","noch offen"))))</f>
        <v/>
      </c>
      <c r="J13" s="12" t="str">
        <f aca="false">IF(A13="","",IF(OR(E13="Ja",F13="Ja",G13="Ja",H13="Ja"),IF(D13="Ja","Rollenwechsel nach Art. 25 — Anbieterpflichten (Art. 16) UND Betreiberpflichten (Art. 26)","Rollenwechsel nach Art. 25 — volle Anbieterpflichten nach Art. 16"),IF(AND(C13="Ja",D13="Ja"),"Anbieterpflichten (Art. 16) UND Betreiberpflichten (Art. 26)",IF(C13="Ja","Anbieterpflichten nach Art. 16",IF(D13="Ja","Betreiberpflichten nach Art. 26",IF(COUNTA(C13:H13)=6,"keine Anbieter-/Betreiberrolle — Einführer-/Händlerpflichten (Art. 23, 24) prüfen","noch offen — bitte alle Fragen beantworten"))))))</f>
        <v/>
      </c>
      <c r="K13" s="13"/>
      <c r="L13" s="11"/>
    </row>
    <row r="14" customFormat="false" ht="25.5" hidden="false" customHeight="true" outlineLevel="0" collapsed="false">
      <c r="A14" s="7"/>
      <c r="B14" s="12" t="n">
        <f aca="false">IFERROR(INDEX('01_KI-Inventar'!$B$6:$B$65,MATCH(A14,'01_KI-Inventar'!$A$6:$A$65,0)),"")</f>
        <v>0</v>
      </c>
      <c r="C14" s="7"/>
      <c r="D14" s="7"/>
      <c r="E14" s="7"/>
      <c r="F14" s="7"/>
      <c r="G14" s="7"/>
      <c r="H14" s="7"/>
      <c r="I14" s="12" t="str">
        <f aca="false">IF(A14="","",IF(OR(C14="Ja",E14="Ja",F14="Ja",G14="Ja",H14="Ja"),IF(D14="Ja","Anbieter und Betreiber","Anbieter"),IF(D14="Ja","Betreiber",IF(COUNTA(C14:H14)=6,"keine Anbieter-/Betreiberrolle","noch offen"))))</f>
        <v/>
      </c>
      <c r="J14" s="12" t="str">
        <f aca="false">IF(A14="","",IF(OR(E14="Ja",F14="Ja",G14="Ja",H14="Ja"),IF(D14="Ja","Rollenwechsel nach Art. 25 — Anbieterpflichten (Art. 16) UND Betreiberpflichten (Art. 26)","Rollenwechsel nach Art. 25 — volle Anbieterpflichten nach Art. 16"),IF(AND(C14="Ja",D14="Ja"),"Anbieterpflichten (Art. 16) UND Betreiberpflichten (Art. 26)",IF(C14="Ja","Anbieterpflichten nach Art. 16",IF(D14="Ja","Betreiberpflichten nach Art. 26",IF(COUNTA(C14:H14)=6,"keine Anbieter-/Betreiberrolle — Einführer-/Händlerpflichten (Art. 23, 24) prüfen","noch offen — bitte alle Fragen beantworten"))))))</f>
        <v/>
      </c>
      <c r="K14" s="13"/>
      <c r="L14" s="11"/>
    </row>
    <row r="15" customFormat="false" ht="25.5" hidden="false" customHeight="true" outlineLevel="0" collapsed="false">
      <c r="A15" s="7"/>
      <c r="B15" s="12" t="n">
        <f aca="false">IFERROR(INDEX('01_KI-Inventar'!$B$6:$B$65,MATCH(A15,'01_KI-Inventar'!$A$6:$A$65,0)),"")</f>
        <v>0</v>
      </c>
      <c r="C15" s="7"/>
      <c r="D15" s="7"/>
      <c r="E15" s="7"/>
      <c r="F15" s="7"/>
      <c r="G15" s="7"/>
      <c r="H15" s="7"/>
      <c r="I15" s="12" t="str">
        <f aca="false">IF(A15="","",IF(OR(C15="Ja",E15="Ja",F15="Ja",G15="Ja",H15="Ja"),IF(D15="Ja","Anbieter und Betreiber","Anbieter"),IF(D15="Ja","Betreiber",IF(COUNTA(C15:H15)=6,"keine Anbieter-/Betreiberrolle","noch offen"))))</f>
        <v/>
      </c>
      <c r="J15" s="12" t="str">
        <f aca="false">IF(A15="","",IF(OR(E15="Ja",F15="Ja",G15="Ja",H15="Ja"),IF(D15="Ja","Rollenwechsel nach Art. 25 — Anbieterpflichten (Art. 16) UND Betreiberpflichten (Art. 26)","Rollenwechsel nach Art. 25 — volle Anbieterpflichten nach Art. 16"),IF(AND(C15="Ja",D15="Ja"),"Anbieterpflichten (Art. 16) UND Betreiberpflichten (Art. 26)",IF(C15="Ja","Anbieterpflichten nach Art. 16",IF(D15="Ja","Betreiberpflichten nach Art. 26",IF(COUNTA(C15:H15)=6,"keine Anbieter-/Betreiberrolle — Einführer-/Händlerpflichten (Art. 23, 24) prüfen","noch offen — bitte alle Fragen beantworten"))))))</f>
        <v/>
      </c>
      <c r="K15" s="13"/>
      <c r="L15" s="11"/>
    </row>
    <row r="16" customFormat="false" ht="25.5" hidden="false" customHeight="true" outlineLevel="0" collapsed="false">
      <c r="A16" s="7"/>
      <c r="B16" s="12" t="n">
        <f aca="false">IFERROR(INDEX('01_KI-Inventar'!$B$6:$B$65,MATCH(A16,'01_KI-Inventar'!$A$6:$A$65,0)),"")</f>
        <v>0</v>
      </c>
      <c r="C16" s="7"/>
      <c r="D16" s="7"/>
      <c r="E16" s="7"/>
      <c r="F16" s="7"/>
      <c r="G16" s="7"/>
      <c r="H16" s="7"/>
      <c r="I16" s="12" t="str">
        <f aca="false">IF(A16="","",IF(OR(C16="Ja",E16="Ja",F16="Ja",G16="Ja",H16="Ja"),IF(D16="Ja","Anbieter und Betreiber","Anbieter"),IF(D16="Ja","Betreiber",IF(COUNTA(C16:H16)=6,"keine Anbieter-/Betreiberrolle","noch offen"))))</f>
        <v/>
      </c>
      <c r="J16" s="12" t="str">
        <f aca="false">IF(A16="","",IF(OR(E16="Ja",F16="Ja",G16="Ja",H16="Ja"),IF(D16="Ja","Rollenwechsel nach Art. 25 — Anbieterpflichten (Art. 16) UND Betreiberpflichten (Art. 26)","Rollenwechsel nach Art. 25 — volle Anbieterpflichten nach Art. 16"),IF(AND(C16="Ja",D16="Ja"),"Anbieterpflichten (Art. 16) UND Betreiberpflichten (Art. 26)",IF(C16="Ja","Anbieterpflichten nach Art. 16",IF(D16="Ja","Betreiberpflichten nach Art. 26",IF(COUNTA(C16:H16)=6,"keine Anbieter-/Betreiberrolle — Einführer-/Händlerpflichten (Art. 23, 24) prüfen","noch offen — bitte alle Fragen beantworten"))))))</f>
        <v/>
      </c>
      <c r="K16" s="13"/>
      <c r="L16" s="11"/>
    </row>
    <row r="17" customFormat="false" ht="25.5" hidden="false" customHeight="true" outlineLevel="0" collapsed="false">
      <c r="A17" s="7"/>
      <c r="B17" s="12" t="n">
        <f aca="false">IFERROR(INDEX('01_KI-Inventar'!$B$6:$B$65,MATCH(A17,'01_KI-Inventar'!$A$6:$A$65,0)),"")</f>
        <v>0</v>
      </c>
      <c r="C17" s="7"/>
      <c r="D17" s="7"/>
      <c r="E17" s="7"/>
      <c r="F17" s="7"/>
      <c r="G17" s="7"/>
      <c r="H17" s="7"/>
      <c r="I17" s="12" t="str">
        <f aca="false">IF(A17="","",IF(OR(C17="Ja",E17="Ja",F17="Ja",G17="Ja",H17="Ja"),IF(D17="Ja","Anbieter und Betreiber","Anbieter"),IF(D17="Ja","Betreiber",IF(COUNTA(C17:H17)=6,"keine Anbieter-/Betreiberrolle","noch offen"))))</f>
        <v/>
      </c>
      <c r="J17" s="12" t="str">
        <f aca="false">IF(A17="","",IF(OR(E17="Ja",F17="Ja",G17="Ja",H17="Ja"),IF(D17="Ja","Rollenwechsel nach Art. 25 — Anbieterpflichten (Art. 16) UND Betreiberpflichten (Art. 26)","Rollenwechsel nach Art. 25 — volle Anbieterpflichten nach Art. 16"),IF(AND(C17="Ja",D17="Ja"),"Anbieterpflichten (Art. 16) UND Betreiberpflichten (Art. 26)",IF(C17="Ja","Anbieterpflichten nach Art. 16",IF(D17="Ja","Betreiberpflichten nach Art. 26",IF(COUNTA(C17:H17)=6,"keine Anbieter-/Betreiberrolle — Einführer-/Händlerpflichten (Art. 23, 24) prüfen","noch offen — bitte alle Fragen beantworten"))))))</f>
        <v/>
      </c>
      <c r="K17" s="13"/>
      <c r="L17" s="11"/>
    </row>
    <row r="18" customFormat="false" ht="25.5" hidden="false" customHeight="true" outlineLevel="0" collapsed="false">
      <c r="A18" s="7"/>
      <c r="B18" s="12" t="n">
        <f aca="false">IFERROR(INDEX('01_KI-Inventar'!$B$6:$B$65,MATCH(A18,'01_KI-Inventar'!$A$6:$A$65,0)),"")</f>
        <v>0</v>
      </c>
      <c r="C18" s="7"/>
      <c r="D18" s="7"/>
      <c r="E18" s="7"/>
      <c r="F18" s="7"/>
      <c r="G18" s="7"/>
      <c r="H18" s="7"/>
      <c r="I18" s="12" t="str">
        <f aca="false">IF(A18="","",IF(OR(C18="Ja",E18="Ja",F18="Ja",G18="Ja",H18="Ja"),IF(D18="Ja","Anbieter und Betreiber","Anbieter"),IF(D18="Ja","Betreiber",IF(COUNTA(C18:H18)=6,"keine Anbieter-/Betreiberrolle","noch offen"))))</f>
        <v/>
      </c>
      <c r="J18" s="12" t="str">
        <f aca="false">IF(A18="","",IF(OR(E18="Ja",F18="Ja",G18="Ja",H18="Ja"),IF(D18="Ja","Rollenwechsel nach Art. 25 — Anbieterpflichten (Art. 16) UND Betreiberpflichten (Art. 26)","Rollenwechsel nach Art. 25 — volle Anbieterpflichten nach Art. 16"),IF(AND(C18="Ja",D18="Ja"),"Anbieterpflichten (Art. 16) UND Betreiberpflichten (Art. 26)",IF(C18="Ja","Anbieterpflichten nach Art. 16",IF(D18="Ja","Betreiberpflichten nach Art. 26",IF(COUNTA(C18:H18)=6,"keine Anbieter-/Betreiberrolle — Einführer-/Händlerpflichten (Art. 23, 24) prüfen","noch offen — bitte alle Fragen beantworten"))))))</f>
        <v/>
      </c>
      <c r="K18" s="13"/>
      <c r="L18" s="11"/>
    </row>
    <row r="19" customFormat="false" ht="25.5" hidden="false" customHeight="true" outlineLevel="0" collapsed="false">
      <c r="A19" s="7"/>
      <c r="B19" s="12" t="n">
        <f aca="false">IFERROR(INDEX('01_KI-Inventar'!$B$6:$B$65,MATCH(A19,'01_KI-Inventar'!$A$6:$A$65,0)),"")</f>
        <v>0</v>
      </c>
      <c r="C19" s="7"/>
      <c r="D19" s="7"/>
      <c r="E19" s="7"/>
      <c r="F19" s="7"/>
      <c r="G19" s="7"/>
      <c r="H19" s="7"/>
      <c r="I19" s="12" t="str">
        <f aca="false">IF(A19="","",IF(OR(C19="Ja",E19="Ja",F19="Ja",G19="Ja",H19="Ja"),IF(D19="Ja","Anbieter und Betreiber","Anbieter"),IF(D19="Ja","Betreiber",IF(COUNTA(C19:H19)=6,"keine Anbieter-/Betreiberrolle","noch offen"))))</f>
        <v/>
      </c>
      <c r="J19" s="12" t="str">
        <f aca="false">IF(A19="","",IF(OR(E19="Ja",F19="Ja",G19="Ja",H19="Ja"),IF(D19="Ja","Rollenwechsel nach Art. 25 — Anbieterpflichten (Art. 16) UND Betreiberpflichten (Art. 26)","Rollenwechsel nach Art. 25 — volle Anbieterpflichten nach Art. 16"),IF(AND(C19="Ja",D19="Ja"),"Anbieterpflichten (Art. 16) UND Betreiberpflichten (Art. 26)",IF(C19="Ja","Anbieterpflichten nach Art. 16",IF(D19="Ja","Betreiberpflichten nach Art. 26",IF(COUNTA(C19:H19)=6,"keine Anbieter-/Betreiberrolle — Einführer-/Händlerpflichten (Art. 23, 24) prüfen","noch offen — bitte alle Fragen beantworten"))))))</f>
        <v/>
      </c>
      <c r="K19" s="13"/>
      <c r="L19" s="11"/>
    </row>
    <row r="20" customFormat="false" ht="25.5" hidden="false" customHeight="true" outlineLevel="0" collapsed="false">
      <c r="A20" s="7"/>
      <c r="B20" s="12" t="n">
        <f aca="false">IFERROR(INDEX('01_KI-Inventar'!$B$6:$B$65,MATCH(A20,'01_KI-Inventar'!$A$6:$A$65,0)),"")</f>
        <v>0</v>
      </c>
      <c r="C20" s="7"/>
      <c r="D20" s="7"/>
      <c r="E20" s="7"/>
      <c r="F20" s="7"/>
      <c r="G20" s="7"/>
      <c r="H20" s="7"/>
      <c r="I20" s="12" t="str">
        <f aca="false">IF(A20="","",IF(OR(C20="Ja",E20="Ja",F20="Ja",G20="Ja",H20="Ja"),IF(D20="Ja","Anbieter und Betreiber","Anbieter"),IF(D20="Ja","Betreiber",IF(COUNTA(C20:H20)=6,"keine Anbieter-/Betreiberrolle","noch offen"))))</f>
        <v/>
      </c>
      <c r="J20" s="12" t="str">
        <f aca="false">IF(A20="","",IF(OR(E20="Ja",F20="Ja",G20="Ja",H20="Ja"),IF(D20="Ja","Rollenwechsel nach Art. 25 — Anbieterpflichten (Art. 16) UND Betreiberpflichten (Art. 26)","Rollenwechsel nach Art. 25 — volle Anbieterpflichten nach Art. 16"),IF(AND(C20="Ja",D20="Ja"),"Anbieterpflichten (Art. 16) UND Betreiberpflichten (Art. 26)",IF(C20="Ja","Anbieterpflichten nach Art. 16",IF(D20="Ja","Betreiberpflichten nach Art. 26",IF(COUNTA(C20:H20)=6,"keine Anbieter-/Betreiberrolle — Einführer-/Händlerpflichten (Art. 23, 24) prüfen","noch offen — bitte alle Fragen beantworten"))))))</f>
        <v/>
      </c>
      <c r="K20" s="13"/>
      <c r="L20" s="11"/>
    </row>
    <row r="21" customFormat="false" ht="25.5" hidden="false" customHeight="true" outlineLevel="0" collapsed="false">
      <c r="A21" s="7"/>
      <c r="B21" s="12" t="n">
        <f aca="false">IFERROR(INDEX('01_KI-Inventar'!$B$6:$B$65,MATCH(A21,'01_KI-Inventar'!$A$6:$A$65,0)),"")</f>
        <v>0</v>
      </c>
      <c r="C21" s="7"/>
      <c r="D21" s="7"/>
      <c r="E21" s="7"/>
      <c r="F21" s="7"/>
      <c r="G21" s="7"/>
      <c r="H21" s="7"/>
      <c r="I21" s="12" t="str">
        <f aca="false">IF(A21="","",IF(OR(C21="Ja",E21="Ja",F21="Ja",G21="Ja",H21="Ja"),IF(D21="Ja","Anbieter und Betreiber","Anbieter"),IF(D21="Ja","Betreiber",IF(COUNTA(C21:H21)=6,"keine Anbieter-/Betreiberrolle","noch offen"))))</f>
        <v/>
      </c>
      <c r="J21" s="12" t="str">
        <f aca="false">IF(A21="","",IF(OR(E21="Ja",F21="Ja",G21="Ja",H21="Ja"),IF(D21="Ja","Rollenwechsel nach Art. 25 — Anbieterpflichten (Art. 16) UND Betreiberpflichten (Art. 26)","Rollenwechsel nach Art. 25 — volle Anbieterpflichten nach Art. 16"),IF(AND(C21="Ja",D21="Ja"),"Anbieterpflichten (Art. 16) UND Betreiberpflichten (Art. 26)",IF(C21="Ja","Anbieterpflichten nach Art. 16",IF(D21="Ja","Betreiberpflichten nach Art. 26",IF(COUNTA(C21:H21)=6,"keine Anbieter-/Betreiberrolle — Einführer-/Händlerpflichten (Art. 23, 24) prüfen","noch offen — bitte alle Fragen beantworten"))))))</f>
        <v/>
      </c>
      <c r="K21" s="13"/>
      <c r="L21" s="11"/>
    </row>
    <row r="22" customFormat="false" ht="25.5" hidden="false" customHeight="true" outlineLevel="0" collapsed="false">
      <c r="A22" s="7"/>
      <c r="B22" s="12" t="n">
        <f aca="false">IFERROR(INDEX('01_KI-Inventar'!$B$6:$B$65,MATCH(A22,'01_KI-Inventar'!$A$6:$A$65,0)),"")</f>
        <v>0</v>
      </c>
      <c r="C22" s="7"/>
      <c r="D22" s="7"/>
      <c r="E22" s="7"/>
      <c r="F22" s="7"/>
      <c r="G22" s="7"/>
      <c r="H22" s="7"/>
      <c r="I22" s="12" t="str">
        <f aca="false">IF(A22="","",IF(OR(C22="Ja",E22="Ja",F22="Ja",G22="Ja",H22="Ja"),IF(D22="Ja","Anbieter und Betreiber","Anbieter"),IF(D22="Ja","Betreiber",IF(COUNTA(C22:H22)=6,"keine Anbieter-/Betreiberrolle","noch offen"))))</f>
        <v/>
      </c>
      <c r="J22" s="12" t="str">
        <f aca="false">IF(A22="","",IF(OR(E22="Ja",F22="Ja",G22="Ja",H22="Ja"),IF(D22="Ja","Rollenwechsel nach Art. 25 — Anbieterpflichten (Art. 16) UND Betreiberpflichten (Art. 26)","Rollenwechsel nach Art. 25 — volle Anbieterpflichten nach Art. 16"),IF(AND(C22="Ja",D22="Ja"),"Anbieterpflichten (Art. 16) UND Betreiberpflichten (Art. 26)",IF(C22="Ja","Anbieterpflichten nach Art. 16",IF(D22="Ja","Betreiberpflichten nach Art. 26",IF(COUNTA(C22:H22)=6,"keine Anbieter-/Betreiberrolle — Einführer-/Händlerpflichten (Art. 23, 24) prüfen","noch offen — bitte alle Fragen beantworten"))))))</f>
        <v/>
      </c>
      <c r="K22" s="13"/>
      <c r="L22" s="11"/>
    </row>
    <row r="23" customFormat="false" ht="25.5" hidden="false" customHeight="true" outlineLevel="0" collapsed="false">
      <c r="A23" s="7"/>
      <c r="B23" s="12" t="n">
        <f aca="false">IFERROR(INDEX('01_KI-Inventar'!$B$6:$B$65,MATCH(A23,'01_KI-Inventar'!$A$6:$A$65,0)),"")</f>
        <v>0</v>
      </c>
      <c r="C23" s="7"/>
      <c r="D23" s="7"/>
      <c r="E23" s="7"/>
      <c r="F23" s="7"/>
      <c r="G23" s="7"/>
      <c r="H23" s="7"/>
      <c r="I23" s="12" t="str">
        <f aca="false">IF(A23="","",IF(OR(C23="Ja",E23="Ja",F23="Ja",G23="Ja",H23="Ja"),IF(D23="Ja","Anbieter und Betreiber","Anbieter"),IF(D23="Ja","Betreiber",IF(COUNTA(C23:H23)=6,"keine Anbieter-/Betreiberrolle","noch offen"))))</f>
        <v/>
      </c>
      <c r="J23" s="12" t="str">
        <f aca="false">IF(A23="","",IF(OR(E23="Ja",F23="Ja",G23="Ja",H23="Ja"),IF(D23="Ja","Rollenwechsel nach Art. 25 — Anbieterpflichten (Art. 16) UND Betreiberpflichten (Art. 26)","Rollenwechsel nach Art. 25 — volle Anbieterpflichten nach Art. 16"),IF(AND(C23="Ja",D23="Ja"),"Anbieterpflichten (Art. 16) UND Betreiberpflichten (Art. 26)",IF(C23="Ja","Anbieterpflichten nach Art. 16",IF(D23="Ja","Betreiberpflichten nach Art. 26",IF(COUNTA(C23:H23)=6,"keine Anbieter-/Betreiberrolle — Einführer-/Händlerpflichten (Art. 23, 24) prüfen","noch offen — bitte alle Fragen beantworten"))))))</f>
        <v/>
      </c>
      <c r="K23" s="13"/>
      <c r="L23" s="11"/>
    </row>
    <row r="24" customFormat="false" ht="25.5" hidden="false" customHeight="true" outlineLevel="0" collapsed="false">
      <c r="A24" s="7"/>
      <c r="B24" s="12" t="n">
        <f aca="false">IFERROR(INDEX('01_KI-Inventar'!$B$6:$B$65,MATCH(A24,'01_KI-Inventar'!$A$6:$A$65,0)),"")</f>
        <v>0</v>
      </c>
      <c r="C24" s="7"/>
      <c r="D24" s="7"/>
      <c r="E24" s="7"/>
      <c r="F24" s="7"/>
      <c r="G24" s="7"/>
      <c r="H24" s="7"/>
      <c r="I24" s="12" t="str">
        <f aca="false">IF(A24="","",IF(OR(C24="Ja",E24="Ja",F24="Ja",G24="Ja",H24="Ja"),IF(D24="Ja","Anbieter und Betreiber","Anbieter"),IF(D24="Ja","Betreiber",IF(COUNTA(C24:H24)=6,"keine Anbieter-/Betreiberrolle","noch offen"))))</f>
        <v/>
      </c>
      <c r="J24" s="12" t="str">
        <f aca="false">IF(A24="","",IF(OR(E24="Ja",F24="Ja",G24="Ja",H24="Ja"),IF(D24="Ja","Rollenwechsel nach Art. 25 — Anbieterpflichten (Art. 16) UND Betreiberpflichten (Art. 26)","Rollenwechsel nach Art. 25 — volle Anbieterpflichten nach Art. 16"),IF(AND(C24="Ja",D24="Ja"),"Anbieterpflichten (Art. 16) UND Betreiberpflichten (Art. 26)",IF(C24="Ja","Anbieterpflichten nach Art. 16",IF(D24="Ja","Betreiberpflichten nach Art. 26",IF(COUNTA(C24:H24)=6,"keine Anbieter-/Betreiberrolle — Einführer-/Händlerpflichten (Art. 23, 24) prüfen","noch offen — bitte alle Fragen beantworten"))))))</f>
        <v/>
      </c>
      <c r="K24" s="13"/>
      <c r="L24" s="11"/>
    </row>
    <row r="25" customFormat="false" ht="25.5" hidden="false" customHeight="true" outlineLevel="0" collapsed="false">
      <c r="A25" s="7"/>
      <c r="B25" s="12" t="n">
        <f aca="false">IFERROR(INDEX('01_KI-Inventar'!$B$6:$B$65,MATCH(A25,'01_KI-Inventar'!$A$6:$A$65,0)),"")</f>
        <v>0</v>
      </c>
      <c r="C25" s="7"/>
      <c r="D25" s="7"/>
      <c r="E25" s="7"/>
      <c r="F25" s="7"/>
      <c r="G25" s="7"/>
      <c r="H25" s="7"/>
      <c r="I25" s="12" t="str">
        <f aca="false">IF(A25="","",IF(OR(C25="Ja",E25="Ja",F25="Ja",G25="Ja",H25="Ja"),IF(D25="Ja","Anbieter und Betreiber","Anbieter"),IF(D25="Ja","Betreiber",IF(COUNTA(C25:H25)=6,"keine Anbieter-/Betreiberrolle","noch offen"))))</f>
        <v/>
      </c>
      <c r="J25" s="12" t="str">
        <f aca="false">IF(A25="","",IF(OR(E25="Ja",F25="Ja",G25="Ja",H25="Ja"),IF(D25="Ja","Rollenwechsel nach Art. 25 — Anbieterpflichten (Art. 16) UND Betreiberpflichten (Art. 26)","Rollenwechsel nach Art. 25 — volle Anbieterpflichten nach Art. 16"),IF(AND(C25="Ja",D25="Ja"),"Anbieterpflichten (Art. 16) UND Betreiberpflichten (Art. 26)",IF(C25="Ja","Anbieterpflichten nach Art. 16",IF(D25="Ja","Betreiberpflichten nach Art. 26",IF(COUNTA(C25:H25)=6,"keine Anbieter-/Betreiberrolle — Einführer-/Händlerpflichten (Art. 23, 24) prüfen","noch offen — bitte alle Fragen beantworten"))))))</f>
        <v/>
      </c>
      <c r="K25" s="13"/>
      <c r="L25" s="11"/>
    </row>
    <row r="26" customFormat="false" ht="25.5" hidden="false" customHeight="true" outlineLevel="0" collapsed="false">
      <c r="A26" s="7"/>
      <c r="B26" s="12" t="n">
        <f aca="false">IFERROR(INDEX('01_KI-Inventar'!$B$6:$B$65,MATCH(A26,'01_KI-Inventar'!$A$6:$A$65,0)),"")</f>
        <v>0</v>
      </c>
      <c r="C26" s="7"/>
      <c r="D26" s="7"/>
      <c r="E26" s="7"/>
      <c r="F26" s="7"/>
      <c r="G26" s="7"/>
      <c r="H26" s="7"/>
      <c r="I26" s="12" t="str">
        <f aca="false">IF(A26="","",IF(OR(C26="Ja",E26="Ja",F26="Ja",G26="Ja",H26="Ja"),IF(D26="Ja","Anbieter und Betreiber","Anbieter"),IF(D26="Ja","Betreiber",IF(COUNTA(C26:H26)=6,"keine Anbieter-/Betreiberrolle","noch offen"))))</f>
        <v/>
      </c>
      <c r="J26" s="12" t="str">
        <f aca="false">IF(A26="","",IF(OR(E26="Ja",F26="Ja",G26="Ja",H26="Ja"),IF(D26="Ja","Rollenwechsel nach Art. 25 — Anbieterpflichten (Art. 16) UND Betreiberpflichten (Art. 26)","Rollenwechsel nach Art. 25 — volle Anbieterpflichten nach Art. 16"),IF(AND(C26="Ja",D26="Ja"),"Anbieterpflichten (Art. 16) UND Betreiberpflichten (Art. 26)",IF(C26="Ja","Anbieterpflichten nach Art. 16",IF(D26="Ja","Betreiberpflichten nach Art. 26",IF(COUNTA(C26:H26)=6,"keine Anbieter-/Betreiberrolle — Einführer-/Händlerpflichten (Art. 23, 24) prüfen","noch offen — bitte alle Fragen beantworten"))))))</f>
        <v/>
      </c>
      <c r="K26" s="13"/>
      <c r="L26" s="11"/>
    </row>
    <row r="27" customFormat="false" ht="25.5" hidden="false" customHeight="true" outlineLevel="0" collapsed="false">
      <c r="A27" s="7"/>
      <c r="B27" s="12" t="n">
        <f aca="false">IFERROR(INDEX('01_KI-Inventar'!$B$6:$B$65,MATCH(A27,'01_KI-Inventar'!$A$6:$A$65,0)),"")</f>
        <v>0</v>
      </c>
      <c r="C27" s="7"/>
      <c r="D27" s="7"/>
      <c r="E27" s="7"/>
      <c r="F27" s="7"/>
      <c r="G27" s="7"/>
      <c r="H27" s="7"/>
      <c r="I27" s="12" t="str">
        <f aca="false">IF(A27="","",IF(OR(C27="Ja",E27="Ja",F27="Ja",G27="Ja",H27="Ja"),IF(D27="Ja","Anbieter und Betreiber","Anbieter"),IF(D27="Ja","Betreiber",IF(COUNTA(C27:H27)=6,"keine Anbieter-/Betreiberrolle","noch offen"))))</f>
        <v/>
      </c>
      <c r="J27" s="12" t="str">
        <f aca="false">IF(A27="","",IF(OR(E27="Ja",F27="Ja",G27="Ja",H27="Ja"),IF(D27="Ja","Rollenwechsel nach Art. 25 — Anbieterpflichten (Art. 16) UND Betreiberpflichten (Art. 26)","Rollenwechsel nach Art. 25 — volle Anbieterpflichten nach Art. 16"),IF(AND(C27="Ja",D27="Ja"),"Anbieterpflichten (Art. 16) UND Betreiberpflichten (Art. 26)",IF(C27="Ja","Anbieterpflichten nach Art. 16",IF(D27="Ja","Betreiberpflichten nach Art. 26",IF(COUNTA(C27:H27)=6,"keine Anbieter-/Betreiberrolle — Einführer-/Händlerpflichten (Art. 23, 24) prüfen","noch offen — bitte alle Fragen beantworten"))))))</f>
        <v/>
      </c>
      <c r="K27" s="13"/>
      <c r="L27" s="11"/>
    </row>
    <row r="28" customFormat="false" ht="25.5" hidden="false" customHeight="true" outlineLevel="0" collapsed="false">
      <c r="A28" s="7"/>
      <c r="B28" s="12" t="n">
        <f aca="false">IFERROR(INDEX('01_KI-Inventar'!$B$6:$B$65,MATCH(A28,'01_KI-Inventar'!$A$6:$A$65,0)),"")</f>
        <v>0</v>
      </c>
      <c r="C28" s="7"/>
      <c r="D28" s="7"/>
      <c r="E28" s="7"/>
      <c r="F28" s="7"/>
      <c r="G28" s="7"/>
      <c r="H28" s="7"/>
      <c r="I28" s="12" t="str">
        <f aca="false">IF(A28="","",IF(OR(C28="Ja",E28="Ja",F28="Ja",G28="Ja",H28="Ja"),IF(D28="Ja","Anbieter und Betreiber","Anbieter"),IF(D28="Ja","Betreiber",IF(COUNTA(C28:H28)=6,"keine Anbieter-/Betreiberrolle","noch offen"))))</f>
        <v/>
      </c>
      <c r="J28" s="12" t="str">
        <f aca="false">IF(A28="","",IF(OR(E28="Ja",F28="Ja",G28="Ja",H28="Ja"),IF(D28="Ja","Rollenwechsel nach Art. 25 — Anbieterpflichten (Art. 16) UND Betreiberpflichten (Art. 26)","Rollenwechsel nach Art. 25 — volle Anbieterpflichten nach Art. 16"),IF(AND(C28="Ja",D28="Ja"),"Anbieterpflichten (Art. 16) UND Betreiberpflichten (Art. 26)",IF(C28="Ja","Anbieterpflichten nach Art. 16",IF(D28="Ja","Betreiberpflichten nach Art. 26",IF(COUNTA(C28:H28)=6,"keine Anbieter-/Betreiberrolle — Einführer-/Händlerpflichten (Art. 23, 24) prüfen","noch offen — bitte alle Fragen beantworten"))))))</f>
        <v/>
      </c>
      <c r="K28" s="13"/>
      <c r="L28" s="11"/>
    </row>
    <row r="29" customFormat="false" ht="25.5" hidden="false" customHeight="true" outlineLevel="0" collapsed="false">
      <c r="A29" s="7"/>
      <c r="B29" s="12" t="n">
        <f aca="false">IFERROR(INDEX('01_KI-Inventar'!$B$6:$B$65,MATCH(A29,'01_KI-Inventar'!$A$6:$A$65,0)),"")</f>
        <v>0</v>
      </c>
      <c r="C29" s="7"/>
      <c r="D29" s="7"/>
      <c r="E29" s="7"/>
      <c r="F29" s="7"/>
      <c r="G29" s="7"/>
      <c r="H29" s="7"/>
      <c r="I29" s="12" t="str">
        <f aca="false">IF(A29="","",IF(OR(C29="Ja",E29="Ja",F29="Ja",G29="Ja",H29="Ja"),IF(D29="Ja","Anbieter und Betreiber","Anbieter"),IF(D29="Ja","Betreiber",IF(COUNTA(C29:H29)=6,"keine Anbieter-/Betreiberrolle","noch offen"))))</f>
        <v/>
      </c>
      <c r="J29" s="12" t="str">
        <f aca="false">IF(A29="","",IF(OR(E29="Ja",F29="Ja",G29="Ja",H29="Ja"),IF(D29="Ja","Rollenwechsel nach Art. 25 — Anbieterpflichten (Art. 16) UND Betreiberpflichten (Art. 26)","Rollenwechsel nach Art. 25 — volle Anbieterpflichten nach Art. 16"),IF(AND(C29="Ja",D29="Ja"),"Anbieterpflichten (Art. 16) UND Betreiberpflichten (Art. 26)",IF(C29="Ja","Anbieterpflichten nach Art. 16",IF(D29="Ja","Betreiberpflichten nach Art. 26",IF(COUNTA(C29:H29)=6,"keine Anbieter-/Betreiberrolle — Einführer-/Händlerpflichten (Art. 23, 24) prüfen","noch offen — bitte alle Fragen beantworten"))))))</f>
        <v/>
      </c>
      <c r="K29" s="13"/>
      <c r="L29" s="11"/>
    </row>
    <row r="30" customFormat="false" ht="25.5" hidden="false" customHeight="true" outlineLevel="0" collapsed="false">
      <c r="A30" s="7"/>
      <c r="B30" s="12" t="n">
        <f aca="false">IFERROR(INDEX('01_KI-Inventar'!$B$6:$B$65,MATCH(A30,'01_KI-Inventar'!$A$6:$A$65,0)),"")</f>
        <v>0</v>
      </c>
      <c r="C30" s="7"/>
      <c r="D30" s="7"/>
      <c r="E30" s="7"/>
      <c r="F30" s="7"/>
      <c r="G30" s="7"/>
      <c r="H30" s="7"/>
      <c r="I30" s="12" t="str">
        <f aca="false">IF(A30="","",IF(OR(C30="Ja",E30="Ja",F30="Ja",G30="Ja",H30="Ja"),IF(D30="Ja","Anbieter und Betreiber","Anbieter"),IF(D30="Ja","Betreiber",IF(COUNTA(C30:H30)=6,"keine Anbieter-/Betreiberrolle","noch offen"))))</f>
        <v/>
      </c>
      <c r="J30" s="12" t="str">
        <f aca="false">IF(A30="","",IF(OR(E30="Ja",F30="Ja",G30="Ja",H30="Ja"),IF(D30="Ja","Rollenwechsel nach Art. 25 — Anbieterpflichten (Art. 16) UND Betreiberpflichten (Art. 26)","Rollenwechsel nach Art. 25 — volle Anbieterpflichten nach Art. 16"),IF(AND(C30="Ja",D30="Ja"),"Anbieterpflichten (Art. 16) UND Betreiberpflichten (Art. 26)",IF(C30="Ja","Anbieterpflichten nach Art. 16",IF(D30="Ja","Betreiberpflichten nach Art. 26",IF(COUNTA(C30:H30)=6,"keine Anbieter-/Betreiberrolle — Einführer-/Händlerpflichten (Art. 23, 24) prüfen","noch offen — bitte alle Fragen beantworten"))))))</f>
        <v/>
      </c>
      <c r="K30" s="13"/>
      <c r="L30" s="11"/>
    </row>
    <row r="31" customFormat="false" ht="25.5" hidden="false" customHeight="true" outlineLevel="0" collapsed="false">
      <c r="A31" s="7"/>
      <c r="B31" s="12" t="n">
        <f aca="false">IFERROR(INDEX('01_KI-Inventar'!$B$6:$B$65,MATCH(A31,'01_KI-Inventar'!$A$6:$A$65,0)),"")</f>
        <v>0</v>
      </c>
      <c r="C31" s="7"/>
      <c r="D31" s="7"/>
      <c r="E31" s="7"/>
      <c r="F31" s="7"/>
      <c r="G31" s="7"/>
      <c r="H31" s="7"/>
      <c r="I31" s="12" t="str">
        <f aca="false">IF(A31="","",IF(OR(C31="Ja",E31="Ja",F31="Ja",G31="Ja",H31="Ja"),IF(D31="Ja","Anbieter und Betreiber","Anbieter"),IF(D31="Ja","Betreiber",IF(COUNTA(C31:H31)=6,"keine Anbieter-/Betreiberrolle","noch offen"))))</f>
        <v/>
      </c>
      <c r="J31" s="12" t="str">
        <f aca="false">IF(A31="","",IF(OR(E31="Ja",F31="Ja",G31="Ja",H31="Ja"),IF(D31="Ja","Rollenwechsel nach Art. 25 — Anbieterpflichten (Art. 16) UND Betreiberpflichten (Art. 26)","Rollenwechsel nach Art. 25 — volle Anbieterpflichten nach Art. 16"),IF(AND(C31="Ja",D31="Ja"),"Anbieterpflichten (Art. 16) UND Betreiberpflichten (Art. 26)",IF(C31="Ja","Anbieterpflichten nach Art. 16",IF(D31="Ja","Betreiberpflichten nach Art. 26",IF(COUNTA(C31:H31)=6,"keine Anbieter-/Betreiberrolle — Einführer-/Händlerpflichten (Art. 23, 24) prüfen","noch offen — bitte alle Fragen beantworten"))))))</f>
        <v/>
      </c>
      <c r="K31" s="13"/>
      <c r="L31" s="11"/>
    </row>
    <row r="32" customFormat="false" ht="25.5" hidden="false" customHeight="true" outlineLevel="0" collapsed="false">
      <c r="A32" s="7"/>
      <c r="B32" s="12" t="n">
        <f aca="false">IFERROR(INDEX('01_KI-Inventar'!$B$6:$B$65,MATCH(A32,'01_KI-Inventar'!$A$6:$A$65,0)),"")</f>
        <v>0</v>
      </c>
      <c r="C32" s="7"/>
      <c r="D32" s="7"/>
      <c r="E32" s="7"/>
      <c r="F32" s="7"/>
      <c r="G32" s="7"/>
      <c r="H32" s="7"/>
      <c r="I32" s="12" t="str">
        <f aca="false">IF(A32="","",IF(OR(C32="Ja",E32="Ja",F32="Ja",G32="Ja",H32="Ja"),IF(D32="Ja","Anbieter und Betreiber","Anbieter"),IF(D32="Ja","Betreiber",IF(COUNTA(C32:H32)=6,"keine Anbieter-/Betreiberrolle","noch offen"))))</f>
        <v/>
      </c>
      <c r="J32" s="12" t="str">
        <f aca="false">IF(A32="","",IF(OR(E32="Ja",F32="Ja",G32="Ja",H32="Ja"),IF(D32="Ja","Rollenwechsel nach Art. 25 — Anbieterpflichten (Art. 16) UND Betreiberpflichten (Art. 26)","Rollenwechsel nach Art. 25 — volle Anbieterpflichten nach Art. 16"),IF(AND(C32="Ja",D32="Ja"),"Anbieterpflichten (Art. 16) UND Betreiberpflichten (Art. 26)",IF(C32="Ja","Anbieterpflichten nach Art. 16",IF(D32="Ja","Betreiberpflichten nach Art. 26",IF(COUNTA(C32:H32)=6,"keine Anbieter-/Betreiberrolle — Einführer-/Händlerpflichten (Art. 23, 24) prüfen","noch offen — bitte alle Fragen beantworten"))))))</f>
        <v/>
      </c>
      <c r="K32" s="13"/>
      <c r="L32" s="11"/>
    </row>
    <row r="33" customFormat="false" ht="25.5" hidden="false" customHeight="true" outlineLevel="0" collapsed="false">
      <c r="A33" s="7"/>
      <c r="B33" s="12" t="n">
        <f aca="false">IFERROR(INDEX('01_KI-Inventar'!$B$6:$B$65,MATCH(A33,'01_KI-Inventar'!$A$6:$A$65,0)),"")</f>
        <v>0</v>
      </c>
      <c r="C33" s="7"/>
      <c r="D33" s="7"/>
      <c r="E33" s="7"/>
      <c r="F33" s="7"/>
      <c r="G33" s="7"/>
      <c r="H33" s="7"/>
      <c r="I33" s="12" t="str">
        <f aca="false">IF(A33="","",IF(OR(C33="Ja",E33="Ja",F33="Ja",G33="Ja",H33="Ja"),IF(D33="Ja","Anbieter und Betreiber","Anbieter"),IF(D33="Ja","Betreiber",IF(COUNTA(C33:H33)=6,"keine Anbieter-/Betreiberrolle","noch offen"))))</f>
        <v/>
      </c>
      <c r="J33" s="12" t="str">
        <f aca="false">IF(A33="","",IF(OR(E33="Ja",F33="Ja",G33="Ja",H33="Ja"),IF(D33="Ja","Rollenwechsel nach Art. 25 — Anbieterpflichten (Art. 16) UND Betreiberpflichten (Art. 26)","Rollenwechsel nach Art. 25 — volle Anbieterpflichten nach Art. 16"),IF(AND(C33="Ja",D33="Ja"),"Anbieterpflichten (Art. 16) UND Betreiberpflichten (Art. 26)",IF(C33="Ja","Anbieterpflichten nach Art. 16",IF(D33="Ja","Betreiberpflichten nach Art. 26",IF(COUNTA(C33:H33)=6,"keine Anbieter-/Betreiberrolle — Einführer-/Händlerpflichten (Art. 23, 24) prüfen","noch offen — bitte alle Fragen beantworten"))))))</f>
        <v/>
      </c>
      <c r="K33" s="13"/>
      <c r="L33" s="11"/>
    </row>
    <row r="34" customFormat="false" ht="25.5" hidden="false" customHeight="true" outlineLevel="0" collapsed="false">
      <c r="A34" s="7"/>
      <c r="B34" s="12" t="n">
        <f aca="false">IFERROR(INDEX('01_KI-Inventar'!$B$6:$B$65,MATCH(A34,'01_KI-Inventar'!$A$6:$A$65,0)),"")</f>
        <v>0</v>
      </c>
      <c r="C34" s="7"/>
      <c r="D34" s="7"/>
      <c r="E34" s="7"/>
      <c r="F34" s="7"/>
      <c r="G34" s="7"/>
      <c r="H34" s="7"/>
      <c r="I34" s="12" t="str">
        <f aca="false">IF(A34="","",IF(OR(C34="Ja",E34="Ja",F34="Ja",G34="Ja",H34="Ja"),IF(D34="Ja","Anbieter und Betreiber","Anbieter"),IF(D34="Ja","Betreiber",IF(COUNTA(C34:H34)=6,"keine Anbieter-/Betreiberrolle","noch offen"))))</f>
        <v/>
      </c>
      <c r="J34" s="12" t="str">
        <f aca="false">IF(A34="","",IF(OR(E34="Ja",F34="Ja",G34="Ja",H34="Ja"),IF(D34="Ja","Rollenwechsel nach Art. 25 — Anbieterpflichten (Art. 16) UND Betreiberpflichten (Art. 26)","Rollenwechsel nach Art. 25 — volle Anbieterpflichten nach Art. 16"),IF(AND(C34="Ja",D34="Ja"),"Anbieterpflichten (Art. 16) UND Betreiberpflichten (Art. 26)",IF(C34="Ja","Anbieterpflichten nach Art. 16",IF(D34="Ja","Betreiberpflichten nach Art. 26",IF(COUNTA(C34:H34)=6,"keine Anbieter-/Betreiberrolle — Einführer-/Händlerpflichten (Art. 23, 24) prüfen","noch offen — bitte alle Fragen beantworten"))))))</f>
        <v/>
      </c>
      <c r="K34" s="13"/>
      <c r="L34" s="11"/>
    </row>
    <row r="35" customFormat="false" ht="25.5" hidden="false" customHeight="true" outlineLevel="0" collapsed="false">
      <c r="A35" s="7"/>
      <c r="B35" s="12" t="n">
        <f aca="false">IFERROR(INDEX('01_KI-Inventar'!$B$6:$B$65,MATCH(A35,'01_KI-Inventar'!$A$6:$A$65,0)),"")</f>
        <v>0</v>
      </c>
      <c r="C35" s="7"/>
      <c r="D35" s="7"/>
      <c r="E35" s="7"/>
      <c r="F35" s="7"/>
      <c r="G35" s="7"/>
      <c r="H35" s="7"/>
      <c r="I35" s="12" t="str">
        <f aca="false">IF(A35="","",IF(OR(C35="Ja",E35="Ja",F35="Ja",G35="Ja",H35="Ja"),IF(D35="Ja","Anbieter und Betreiber","Anbieter"),IF(D35="Ja","Betreiber",IF(COUNTA(C35:H35)=6,"keine Anbieter-/Betreiberrolle","noch offen"))))</f>
        <v/>
      </c>
      <c r="J35" s="12" t="str">
        <f aca="false">IF(A35="","",IF(OR(E35="Ja",F35="Ja",G35="Ja",H35="Ja"),IF(D35="Ja","Rollenwechsel nach Art. 25 — Anbieterpflichten (Art. 16) UND Betreiberpflichten (Art. 26)","Rollenwechsel nach Art. 25 — volle Anbieterpflichten nach Art. 16"),IF(AND(C35="Ja",D35="Ja"),"Anbieterpflichten (Art. 16) UND Betreiberpflichten (Art. 26)",IF(C35="Ja","Anbieterpflichten nach Art. 16",IF(D35="Ja","Betreiberpflichten nach Art. 26",IF(COUNTA(C35:H35)=6,"keine Anbieter-/Betreiberrolle — Einführer-/Händlerpflichten (Art. 23, 24) prüfen","noch offen — bitte alle Fragen beantworten"))))))</f>
        <v/>
      </c>
      <c r="K35" s="13"/>
      <c r="L35" s="11"/>
    </row>
    <row r="36" customFormat="false" ht="25.5" hidden="false" customHeight="true" outlineLevel="0" collapsed="false">
      <c r="A36" s="7"/>
      <c r="B36" s="12" t="n">
        <f aca="false">IFERROR(INDEX('01_KI-Inventar'!$B$6:$B$65,MATCH(A36,'01_KI-Inventar'!$A$6:$A$65,0)),"")</f>
        <v>0</v>
      </c>
      <c r="C36" s="7"/>
      <c r="D36" s="7"/>
      <c r="E36" s="7"/>
      <c r="F36" s="7"/>
      <c r="G36" s="7"/>
      <c r="H36" s="7"/>
      <c r="I36" s="12" t="str">
        <f aca="false">IF(A36="","",IF(OR(C36="Ja",E36="Ja",F36="Ja",G36="Ja",H36="Ja"),IF(D36="Ja","Anbieter und Betreiber","Anbieter"),IF(D36="Ja","Betreiber",IF(COUNTA(C36:H36)=6,"keine Anbieter-/Betreiberrolle","noch offen"))))</f>
        <v/>
      </c>
      <c r="J36" s="12" t="str">
        <f aca="false">IF(A36="","",IF(OR(E36="Ja",F36="Ja",G36="Ja",H36="Ja"),IF(D36="Ja","Rollenwechsel nach Art. 25 — Anbieterpflichten (Art. 16) UND Betreiberpflichten (Art. 26)","Rollenwechsel nach Art. 25 — volle Anbieterpflichten nach Art. 16"),IF(AND(C36="Ja",D36="Ja"),"Anbieterpflichten (Art. 16) UND Betreiberpflichten (Art. 26)",IF(C36="Ja","Anbieterpflichten nach Art. 16",IF(D36="Ja","Betreiberpflichten nach Art. 26",IF(COUNTA(C36:H36)=6,"keine Anbieter-/Betreiberrolle — Einführer-/Händlerpflichten (Art. 23, 24) prüfen","noch offen — bitte alle Fragen beantworten"))))))</f>
        <v/>
      </c>
      <c r="K36" s="13"/>
      <c r="L36" s="11"/>
    </row>
    <row r="37" customFormat="false" ht="25.5" hidden="false" customHeight="true" outlineLevel="0" collapsed="false">
      <c r="A37" s="7"/>
      <c r="B37" s="12" t="n">
        <f aca="false">IFERROR(INDEX('01_KI-Inventar'!$B$6:$B$65,MATCH(A37,'01_KI-Inventar'!$A$6:$A$65,0)),"")</f>
        <v>0</v>
      </c>
      <c r="C37" s="7"/>
      <c r="D37" s="7"/>
      <c r="E37" s="7"/>
      <c r="F37" s="7"/>
      <c r="G37" s="7"/>
      <c r="H37" s="7"/>
      <c r="I37" s="12" t="str">
        <f aca="false">IF(A37="","",IF(OR(C37="Ja",E37="Ja",F37="Ja",G37="Ja",H37="Ja"),IF(D37="Ja","Anbieter und Betreiber","Anbieter"),IF(D37="Ja","Betreiber",IF(COUNTA(C37:H37)=6,"keine Anbieter-/Betreiberrolle","noch offen"))))</f>
        <v/>
      </c>
      <c r="J37" s="12" t="str">
        <f aca="false">IF(A37="","",IF(OR(E37="Ja",F37="Ja",G37="Ja",H37="Ja"),IF(D37="Ja","Rollenwechsel nach Art. 25 — Anbieterpflichten (Art. 16) UND Betreiberpflichten (Art. 26)","Rollenwechsel nach Art. 25 — volle Anbieterpflichten nach Art. 16"),IF(AND(C37="Ja",D37="Ja"),"Anbieterpflichten (Art. 16) UND Betreiberpflichten (Art. 26)",IF(C37="Ja","Anbieterpflichten nach Art. 16",IF(D37="Ja","Betreiberpflichten nach Art. 26",IF(COUNTA(C37:H37)=6,"keine Anbieter-/Betreiberrolle — Einführer-/Händlerpflichten (Art. 23, 24) prüfen","noch offen — bitte alle Fragen beantworten"))))))</f>
        <v/>
      </c>
      <c r="K37" s="13"/>
      <c r="L37" s="11"/>
    </row>
    <row r="38" customFormat="false" ht="25.5" hidden="false" customHeight="true" outlineLevel="0" collapsed="false">
      <c r="A38" s="7"/>
      <c r="B38" s="12" t="n">
        <f aca="false">IFERROR(INDEX('01_KI-Inventar'!$B$6:$B$65,MATCH(A38,'01_KI-Inventar'!$A$6:$A$65,0)),"")</f>
        <v>0</v>
      </c>
      <c r="C38" s="7"/>
      <c r="D38" s="7"/>
      <c r="E38" s="7"/>
      <c r="F38" s="7"/>
      <c r="G38" s="7"/>
      <c r="H38" s="7"/>
      <c r="I38" s="12" t="str">
        <f aca="false">IF(A38="","",IF(OR(C38="Ja",E38="Ja",F38="Ja",G38="Ja",H38="Ja"),IF(D38="Ja","Anbieter und Betreiber","Anbieter"),IF(D38="Ja","Betreiber",IF(COUNTA(C38:H38)=6,"keine Anbieter-/Betreiberrolle","noch offen"))))</f>
        <v/>
      </c>
      <c r="J38" s="12" t="str">
        <f aca="false">IF(A38="","",IF(OR(E38="Ja",F38="Ja",G38="Ja",H38="Ja"),IF(D38="Ja","Rollenwechsel nach Art. 25 — Anbieterpflichten (Art. 16) UND Betreiberpflichten (Art. 26)","Rollenwechsel nach Art. 25 — volle Anbieterpflichten nach Art. 16"),IF(AND(C38="Ja",D38="Ja"),"Anbieterpflichten (Art. 16) UND Betreiberpflichten (Art. 26)",IF(C38="Ja","Anbieterpflichten nach Art. 16",IF(D38="Ja","Betreiberpflichten nach Art. 26",IF(COUNTA(C38:H38)=6,"keine Anbieter-/Betreiberrolle — Einführer-/Händlerpflichten (Art. 23, 24) prüfen","noch offen — bitte alle Fragen beantworten"))))))</f>
        <v/>
      </c>
      <c r="K38" s="13"/>
      <c r="L38" s="11"/>
    </row>
    <row r="39" customFormat="false" ht="25.5" hidden="false" customHeight="true" outlineLevel="0" collapsed="false">
      <c r="A39" s="7"/>
      <c r="B39" s="12" t="n">
        <f aca="false">IFERROR(INDEX('01_KI-Inventar'!$B$6:$B$65,MATCH(A39,'01_KI-Inventar'!$A$6:$A$65,0)),"")</f>
        <v>0</v>
      </c>
      <c r="C39" s="7"/>
      <c r="D39" s="7"/>
      <c r="E39" s="7"/>
      <c r="F39" s="7"/>
      <c r="G39" s="7"/>
      <c r="H39" s="7"/>
      <c r="I39" s="12" t="str">
        <f aca="false">IF(A39="","",IF(OR(C39="Ja",E39="Ja",F39="Ja",G39="Ja",H39="Ja"),IF(D39="Ja","Anbieter und Betreiber","Anbieter"),IF(D39="Ja","Betreiber",IF(COUNTA(C39:H39)=6,"keine Anbieter-/Betreiberrolle","noch offen"))))</f>
        <v/>
      </c>
      <c r="J39" s="12" t="str">
        <f aca="false">IF(A39="","",IF(OR(E39="Ja",F39="Ja",G39="Ja",H39="Ja"),IF(D39="Ja","Rollenwechsel nach Art. 25 — Anbieterpflichten (Art. 16) UND Betreiberpflichten (Art. 26)","Rollenwechsel nach Art. 25 — volle Anbieterpflichten nach Art. 16"),IF(AND(C39="Ja",D39="Ja"),"Anbieterpflichten (Art. 16) UND Betreiberpflichten (Art. 26)",IF(C39="Ja","Anbieterpflichten nach Art. 16",IF(D39="Ja","Betreiberpflichten nach Art. 26",IF(COUNTA(C39:H39)=6,"keine Anbieter-/Betreiberrolle — Einführer-/Händlerpflichten (Art. 23, 24) prüfen","noch offen — bitte alle Fragen beantworten"))))))</f>
        <v/>
      </c>
      <c r="K39" s="13"/>
      <c r="L39" s="11"/>
    </row>
    <row r="40" customFormat="false" ht="25.5" hidden="false" customHeight="true" outlineLevel="0" collapsed="false">
      <c r="A40" s="7"/>
      <c r="B40" s="12" t="n">
        <f aca="false">IFERROR(INDEX('01_KI-Inventar'!$B$6:$B$65,MATCH(A40,'01_KI-Inventar'!$A$6:$A$65,0)),"")</f>
        <v>0</v>
      </c>
      <c r="C40" s="7"/>
      <c r="D40" s="7"/>
      <c r="E40" s="7"/>
      <c r="F40" s="7"/>
      <c r="G40" s="7"/>
      <c r="H40" s="7"/>
      <c r="I40" s="12" t="str">
        <f aca="false">IF(A40="","",IF(OR(C40="Ja",E40="Ja",F40="Ja",G40="Ja",H40="Ja"),IF(D40="Ja","Anbieter und Betreiber","Anbieter"),IF(D40="Ja","Betreiber",IF(COUNTA(C40:H40)=6,"keine Anbieter-/Betreiberrolle","noch offen"))))</f>
        <v/>
      </c>
      <c r="J40" s="12" t="str">
        <f aca="false">IF(A40="","",IF(OR(E40="Ja",F40="Ja",G40="Ja",H40="Ja"),IF(D40="Ja","Rollenwechsel nach Art. 25 — Anbieterpflichten (Art. 16) UND Betreiberpflichten (Art. 26)","Rollenwechsel nach Art. 25 — volle Anbieterpflichten nach Art. 16"),IF(AND(C40="Ja",D40="Ja"),"Anbieterpflichten (Art. 16) UND Betreiberpflichten (Art. 26)",IF(C40="Ja","Anbieterpflichten nach Art. 16",IF(D40="Ja","Betreiberpflichten nach Art. 26",IF(COUNTA(C40:H40)=6,"keine Anbieter-/Betreiberrolle — Einführer-/Händlerpflichten (Art. 23, 24) prüfen","noch offen — bitte alle Fragen beantworten"))))))</f>
        <v/>
      </c>
      <c r="K40" s="13"/>
      <c r="L40" s="11"/>
    </row>
    <row r="41" customFormat="false" ht="25.5" hidden="false" customHeight="true" outlineLevel="0" collapsed="false">
      <c r="A41" s="7"/>
      <c r="B41" s="12" t="n">
        <f aca="false">IFERROR(INDEX('01_KI-Inventar'!$B$6:$B$65,MATCH(A41,'01_KI-Inventar'!$A$6:$A$65,0)),"")</f>
        <v>0</v>
      </c>
      <c r="C41" s="7"/>
      <c r="D41" s="7"/>
      <c r="E41" s="7"/>
      <c r="F41" s="7"/>
      <c r="G41" s="7"/>
      <c r="H41" s="7"/>
      <c r="I41" s="12" t="str">
        <f aca="false">IF(A41="","",IF(OR(C41="Ja",E41="Ja",F41="Ja",G41="Ja",H41="Ja"),IF(D41="Ja","Anbieter und Betreiber","Anbieter"),IF(D41="Ja","Betreiber",IF(COUNTA(C41:H41)=6,"keine Anbieter-/Betreiberrolle","noch offen"))))</f>
        <v/>
      </c>
      <c r="J41" s="12" t="str">
        <f aca="false">IF(A41="","",IF(OR(E41="Ja",F41="Ja",G41="Ja",H41="Ja"),IF(D41="Ja","Rollenwechsel nach Art. 25 — Anbieterpflichten (Art. 16) UND Betreiberpflichten (Art. 26)","Rollenwechsel nach Art. 25 — volle Anbieterpflichten nach Art. 16"),IF(AND(C41="Ja",D41="Ja"),"Anbieterpflichten (Art. 16) UND Betreiberpflichten (Art. 26)",IF(C41="Ja","Anbieterpflichten nach Art. 16",IF(D41="Ja","Betreiberpflichten nach Art. 26",IF(COUNTA(C41:H41)=6,"keine Anbieter-/Betreiberrolle — Einführer-/Händlerpflichten (Art. 23, 24) prüfen","noch offen — bitte alle Fragen beantworten"))))))</f>
        <v/>
      </c>
      <c r="K41" s="13"/>
      <c r="L41" s="11"/>
    </row>
    <row r="42" customFormat="false" ht="25.5" hidden="false" customHeight="true" outlineLevel="0" collapsed="false">
      <c r="A42" s="7"/>
      <c r="B42" s="12" t="n">
        <f aca="false">IFERROR(INDEX('01_KI-Inventar'!$B$6:$B$65,MATCH(A42,'01_KI-Inventar'!$A$6:$A$65,0)),"")</f>
        <v>0</v>
      </c>
      <c r="C42" s="7"/>
      <c r="D42" s="7"/>
      <c r="E42" s="7"/>
      <c r="F42" s="7"/>
      <c r="G42" s="7"/>
      <c r="H42" s="7"/>
      <c r="I42" s="12" t="str">
        <f aca="false">IF(A42="","",IF(OR(C42="Ja",E42="Ja",F42="Ja",G42="Ja",H42="Ja"),IF(D42="Ja","Anbieter und Betreiber","Anbieter"),IF(D42="Ja","Betreiber",IF(COUNTA(C42:H42)=6,"keine Anbieter-/Betreiberrolle","noch offen"))))</f>
        <v/>
      </c>
      <c r="J42" s="12" t="str">
        <f aca="false">IF(A42="","",IF(OR(E42="Ja",F42="Ja",G42="Ja",H42="Ja"),IF(D42="Ja","Rollenwechsel nach Art. 25 — Anbieterpflichten (Art. 16) UND Betreiberpflichten (Art. 26)","Rollenwechsel nach Art. 25 — volle Anbieterpflichten nach Art. 16"),IF(AND(C42="Ja",D42="Ja"),"Anbieterpflichten (Art. 16) UND Betreiberpflichten (Art. 26)",IF(C42="Ja","Anbieterpflichten nach Art. 16",IF(D42="Ja","Betreiberpflichten nach Art. 26",IF(COUNTA(C42:H42)=6,"keine Anbieter-/Betreiberrolle — Einführer-/Händlerpflichten (Art. 23, 24) prüfen","noch offen — bitte alle Fragen beantworten"))))))</f>
        <v/>
      </c>
      <c r="K42" s="13"/>
      <c r="L42" s="11"/>
    </row>
    <row r="43" customFormat="false" ht="25.5" hidden="false" customHeight="true" outlineLevel="0" collapsed="false">
      <c r="A43" s="7"/>
      <c r="B43" s="12" t="n">
        <f aca="false">IFERROR(INDEX('01_KI-Inventar'!$B$6:$B$65,MATCH(A43,'01_KI-Inventar'!$A$6:$A$65,0)),"")</f>
        <v>0</v>
      </c>
      <c r="C43" s="7"/>
      <c r="D43" s="7"/>
      <c r="E43" s="7"/>
      <c r="F43" s="7"/>
      <c r="G43" s="7"/>
      <c r="H43" s="7"/>
      <c r="I43" s="12" t="str">
        <f aca="false">IF(A43="","",IF(OR(C43="Ja",E43="Ja",F43="Ja",G43="Ja",H43="Ja"),IF(D43="Ja","Anbieter und Betreiber","Anbieter"),IF(D43="Ja","Betreiber",IF(COUNTA(C43:H43)=6,"keine Anbieter-/Betreiberrolle","noch offen"))))</f>
        <v/>
      </c>
      <c r="J43" s="12" t="str">
        <f aca="false">IF(A43="","",IF(OR(E43="Ja",F43="Ja",G43="Ja",H43="Ja"),IF(D43="Ja","Rollenwechsel nach Art. 25 — Anbieterpflichten (Art. 16) UND Betreiberpflichten (Art. 26)","Rollenwechsel nach Art. 25 — volle Anbieterpflichten nach Art. 16"),IF(AND(C43="Ja",D43="Ja"),"Anbieterpflichten (Art. 16) UND Betreiberpflichten (Art. 26)",IF(C43="Ja","Anbieterpflichten nach Art. 16",IF(D43="Ja","Betreiberpflichten nach Art. 26",IF(COUNTA(C43:H43)=6,"keine Anbieter-/Betreiberrolle — Einführer-/Händlerpflichten (Art. 23, 24) prüfen","noch offen — bitte alle Fragen beantworten"))))))</f>
        <v/>
      </c>
      <c r="K43" s="13"/>
      <c r="L43" s="11"/>
    </row>
    <row r="44" customFormat="false" ht="25.5" hidden="false" customHeight="true" outlineLevel="0" collapsed="false">
      <c r="A44" s="7"/>
      <c r="B44" s="12" t="n">
        <f aca="false">IFERROR(INDEX('01_KI-Inventar'!$B$6:$B$65,MATCH(A44,'01_KI-Inventar'!$A$6:$A$65,0)),"")</f>
        <v>0</v>
      </c>
      <c r="C44" s="7"/>
      <c r="D44" s="7"/>
      <c r="E44" s="7"/>
      <c r="F44" s="7"/>
      <c r="G44" s="7"/>
      <c r="H44" s="7"/>
      <c r="I44" s="12" t="str">
        <f aca="false">IF(A44="","",IF(OR(C44="Ja",E44="Ja",F44="Ja",G44="Ja",H44="Ja"),IF(D44="Ja","Anbieter und Betreiber","Anbieter"),IF(D44="Ja","Betreiber",IF(COUNTA(C44:H44)=6,"keine Anbieter-/Betreiberrolle","noch offen"))))</f>
        <v/>
      </c>
      <c r="J44" s="12" t="str">
        <f aca="false">IF(A44="","",IF(OR(E44="Ja",F44="Ja",G44="Ja",H44="Ja"),IF(D44="Ja","Rollenwechsel nach Art. 25 — Anbieterpflichten (Art. 16) UND Betreiberpflichten (Art. 26)","Rollenwechsel nach Art. 25 — volle Anbieterpflichten nach Art. 16"),IF(AND(C44="Ja",D44="Ja"),"Anbieterpflichten (Art. 16) UND Betreiberpflichten (Art. 26)",IF(C44="Ja","Anbieterpflichten nach Art. 16",IF(D44="Ja","Betreiberpflichten nach Art. 26",IF(COUNTA(C44:H44)=6,"keine Anbieter-/Betreiberrolle — Einführer-/Händlerpflichten (Art. 23, 24) prüfen","noch offen — bitte alle Fragen beantworten"))))))</f>
        <v/>
      </c>
      <c r="K44" s="13"/>
      <c r="L44" s="11"/>
    </row>
    <row r="45" customFormat="false" ht="25.5" hidden="false" customHeight="true" outlineLevel="0" collapsed="false">
      <c r="A45" s="7"/>
      <c r="B45" s="12" t="n">
        <f aca="false">IFERROR(INDEX('01_KI-Inventar'!$B$6:$B$65,MATCH(A45,'01_KI-Inventar'!$A$6:$A$65,0)),"")</f>
        <v>0</v>
      </c>
      <c r="C45" s="7"/>
      <c r="D45" s="7"/>
      <c r="E45" s="7"/>
      <c r="F45" s="7"/>
      <c r="G45" s="7"/>
      <c r="H45" s="7"/>
      <c r="I45" s="12" t="str">
        <f aca="false">IF(A45="","",IF(OR(C45="Ja",E45="Ja",F45="Ja",G45="Ja",H45="Ja"),IF(D45="Ja","Anbieter und Betreiber","Anbieter"),IF(D45="Ja","Betreiber",IF(COUNTA(C45:H45)=6,"keine Anbieter-/Betreiberrolle","noch offen"))))</f>
        <v/>
      </c>
      <c r="J45" s="12" t="str">
        <f aca="false">IF(A45="","",IF(OR(E45="Ja",F45="Ja",G45="Ja",H45="Ja"),IF(D45="Ja","Rollenwechsel nach Art. 25 — Anbieterpflichten (Art. 16) UND Betreiberpflichten (Art. 26)","Rollenwechsel nach Art. 25 — volle Anbieterpflichten nach Art. 16"),IF(AND(C45="Ja",D45="Ja"),"Anbieterpflichten (Art. 16) UND Betreiberpflichten (Art. 26)",IF(C45="Ja","Anbieterpflichten nach Art. 16",IF(D45="Ja","Betreiberpflichten nach Art. 26",IF(COUNTA(C45:H45)=6,"keine Anbieter-/Betreiberrolle — Einführer-/Händlerpflichten (Art. 23, 24) prüfen","noch offen — bitte alle Fragen beantworten"))))))</f>
        <v/>
      </c>
      <c r="K45" s="13"/>
      <c r="L45" s="11"/>
    </row>
    <row r="46" customFormat="false" ht="25.5" hidden="false" customHeight="true" outlineLevel="0" collapsed="false">
      <c r="A46" s="7"/>
      <c r="B46" s="12" t="n">
        <f aca="false">IFERROR(INDEX('01_KI-Inventar'!$B$6:$B$65,MATCH(A46,'01_KI-Inventar'!$A$6:$A$65,0)),"")</f>
        <v>0</v>
      </c>
      <c r="C46" s="7"/>
      <c r="D46" s="7"/>
      <c r="E46" s="7"/>
      <c r="F46" s="7"/>
      <c r="G46" s="7"/>
      <c r="H46" s="7"/>
      <c r="I46" s="12" t="str">
        <f aca="false">IF(A46="","",IF(OR(C46="Ja",E46="Ja",F46="Ja",G46="Ja",H46="Ja"),IF(D46="Ja","Anbieter und Betreiber","Anbieter"),IF(D46="Ja","Betreiber",IF(COUNTA(C46:H46)=6,"keine Anbieter-/Betreiberrolle","noch offen"))))</f>
        <v/>
      </c>
      <c r="J46" s="12" t="str">
        <f aca="false">IF(A46="","",IF(OR(E46="Ja",F46="Ja",G46="Ja",H46="Ja"),IF(D46="Ja","Rollenwechsel nach Art. 25 — Anbieterpflichten (Art. 16) UND Betreiberpflichten (Art. 26)","Rollenwechsel nach Art. 25 — volle Anbieterpflichten nach Art. 16"),IF(AND(C46="Ja",D46="Ja"),"Anbieterpflichten (Art. 16) UND Betreiberpflichten (Art. 26)",IF(C46="Ja","Anbieterpflichten nach Art. 16",IF(D46="Ja","Betreiberpflichten nach Art. 26",IF(COUNTA(C46:H46)=6,"keine Anbieter-/Betreiberrolle — Einführer-/Händlerpflichten (Art. 23, 24) prüfen","noch offen — bitte alle Fragen beantworten"))))))</f>
        <v/>
      </c>
      <c r="K46" s="13"/>
      <c r="L46" s="11"/>
    </row>
    <row r="47" customFormat="false" ht="25.5" hidden="false" customHeight="true" outlineLevel="0" collapsed="false">
      <c r="A47" s="7"/>
      <c r="B47" s="12" t="n">
        <f aca="false">IFERROR(INDEX('01_KI-Inventar'!$B$6:$B$65,MATCH(A47,'01_KI-Inventar'!$A$6:$A$65,0)),"")</f>
        <v>0</v>
      </c>
      <c r="C47" s="7"/>
      <c r="D47" s="7"/>
      <c r="E47" s="7"/>
      <c r="F47" s="7"/>
      <c r="G47" s="7"/>
      <c r="H47" s="7"/>
      <c r="I47" s="12" t="str">
        <f aca="false">IF(A47="","",IF(OR(C47="Ja",E47="Ja",F47="Ja",G47="Ja",H47="Ja"),IF(D47="Ja","Anbieter und Betreiber","Anbieter"),IF(D47="Ja","Betreiber",IF(COUNTA(C47:H47)=6,"keine Anbieter-/Betreiberrolle","noch offen"))))</f>
        <v/>
      </c>
      <c r="J47" s="12" t="str">
        <f aca="false">IF(A47="","",IF(OR(E47="Ja",F47="Ja",G47="Ja",H47="Ja"),IF(D47="Ja","Rollenwechsel nach Art. 25 — Anbieterpflichten (Art. 16) UND Betreiberpflichten (Art. 26)","Rollenwechsel nach Art. 25 — volle Anbieterpflichten nach Art. 16"),IF(AND(C47="Ja",D47="Ja"),"Anbieterpflichten (Art. 16) UND Betreiberpflichten (Art. 26)",IF(C47="Ja","Anbieterpflichten nach Art. 16",IF(D47="Ja","Betreiberpflichten nach Art. 26",IF(COUNTA(C47:H47)=6,"keine Anbieter-/Betreiberrolle — Einführer-/Händlerpflichten (Art. 23, 24) prüfen","noch offen — bitte alle Fragen beantworten"))))))</f>
        <v/>
      </c>
      <c r="K47" s="13"/>
      <c r="L47" s="11"/>
    </row>
    <row r="48" customFormat="false" ht="25.5" hidden="false" customHeight="true" outlineLevel="0" collapsed="false">
      <c r="A48" s="7"/>
      <c r="B48" s="12" t="n">
        <f aca="false">IFERROR(INDEX('01_KI-Inventar'!$B$6:$B$65,MATCH(A48,'01_KI-Inventar'!$A$6:$A$65,0)),"")</f>
        <v>0</v>
      </c>
      <c r="C48" s="7"/>
      <c r="D48" s="7"/>
      <c r="E48" s="7"/>
      <c r="F48" s="7"/>
      <c r="G48" s="7"/>
      <c r="H48" s="7"/>
      <c r="I48" s="12" t="str">
        <f aca="false">IF(A48="","",IF(OR(C48="Ja",E48="Ja",F48="Ja",G48="Ja",H48="Ja"),IF(D48="Ja","Anbieter und Betreiber","Anbieter"),IF(D48="Ja","Betreiber",IF(COUNTA(C48:H48)=6,"keine Anbieter-/Betreiberrolle","noch offen"))))</f>
        <v/>
      </c>
      <c r="J48" s="12" t="str">
        <f aca="false">IF(A48="","",IF(OR(E48="Ja",F48="Ja",G48="Ja",H48="Ja"),IF(D48="Ja","Rollenwechsel nach Art. 25 — Anbieterpflichten (Art. 16) UND Betreiberpflichten (Art. 26)","Rollenwechsel nach Art. 25 — volle Anbieterpflichten nach Art. 16"),IF(AND(C48="Ja",D48="Ja"),"Anbieterpflichten (Art. 16) UND Betreiberpflichten (Art. 26)",IF(C48="Ja","Anbieterpflichten nach Art. 16",IF(D48="Ja","Betreiberpflichten nach Art. 26",IF(COUNTA(C48:H48)=6,"keine Anbieter-/Betreiberrolle — Einführer-/Händlerpflichten (Art. 23, 24) prüfen","noch offen — bitte alle Fragen beantworten"))))))</f>
        <v/>
      </c>
      <c r="K48" s="13"/>
      <c r="L48" s="11"/>
    </row>
    <row r="49" customFormat="false" ht="25.5" hidden="false" customHeight="true" outlineLevel="0" collapsed="false">
      <c r="A49" s="7"/>
      <c r="B49" s="12" t="n">
        <f aca="false">IFERROR(INDEX('01_KI-Inventar'!$B$6:$B$65,MATCH(A49,'01_KI-Inventar'!$A$6:$A$65,0)),"")</f>
        <v>0</v>
      </c>
      <c r="C49" s="7"/>
      <c r="D49" s="7"/>
      <c r="E49" s="7"/>
      <c r="F49" s="7"/>
      <c r="G49" s="7"/>
      <c r="H49" s="7"/>
      <c r="I49" s="12" t="str">
        <f aca="false">IF(A49="","",IF(OR(C49="Ja",E49="Ja",F49="Ja",G49="Ja",H49="Ja"),IF(D49="Ja","Anbieter und Betreiber","Anbieter"),IF(D49="Ja","Betreiber",IF(COUNTA(C49:H49)=6,"keine Anbieter-/Betreiberrolle","noch offen"))))</f>
        <v/>
      </c>
      <c r="J49" s="12" t="str">
        <f aca="false">IF(A49="","",IF(OR(E49="Ja",F49="Ja",G49="Ja",H49="Ja"),IF(D49="Ja","Rollenwechsel nach Art. 25 — Anbieterpflichten (Art. 16) UND Betreiberpflichten (Art. 26)","Rollenwechsel nach Art. 25 — volle Anbieterpflichten nach Art. 16"),IF(AND(C49="Ja",D49="Ja"),"Anbieterpflichten (Art. 16) UND Betreiberpflichten (Art. 26)",IF(C49="Ja","Anbieterpflichten nach Art. 16",IF(D49="Ja","Betreiberpflichten nach Art. 26",IF(COUNTA(C49:H49)=6,"keine Anbieter-/Betreiberrolle — Einführer-/Händlerpflichten (Art. 23, 24) prüfen","noch offen — bitte alle Fragen beantworten"))))))</f>
        <v/>
      </c>
      <c r="K49" s="13"/>
      <c r="L49" s="11"/>
    </row>
    <row r="50" customFormat="false" ht="25.5" hidden="false" customHeight="true" outlineLevel="0" collapsed="false">
      <c r="A50" s="7"/>
      <c r="B50" s="12" t="n">
        <f aca="false">IFERROR(INDEX('01_KI-Inventar'!$B$6:$B$65,MATCH(A50,'01_KI-Inventar'!$A$6:$A$65,0)),"")</f>
        <v>0</v>
      </c>
      <c r="C50" s="7"/>
      <c r="D50" s="7"/>
      <c r="E50" s="7"/>
      <c r="F50" s="7"/>
      <c r="G50" s="7"/>
      <c r="H50" s="7"/>
      <c r="I50" s="12" t="str">
        <f aca="false">IF(A50="","",IF(OR(C50="Ja",E50="Ja",F50="Ja",G50="Ja",H50="Ja"),IF(D50="Ja","Anbieter und Betreiber","Anbieter"),IF(D50="Ja","Betreiber",IF(COUNTA(C50:H50)=6,"keine Anbieter-/Betreiberrolle","noch offen"))))</f>
        <v/>
      </c>
      <c r="J50" s="12" t="str">
        <f aca="false">IF(A50="","",IF(OR(E50="Ja",F50="Ja",G50="Ja",H50="Ja"),IF(D50="Ja","Rollenwechsel nach Art. 25 — Anbieterpflichten (Art. 16) UND Betreiberpflichten (Art. 26)","Rollenwechsel nach Art. 25 — volle Anbieterpflichten nach Art. 16"),IF(AND(C50="Ja",D50="Ja"),"Anbieterpflichten (Art. 16) UND Betreiberpflichten (Art. 26)",IF(C50="Ja","Anbieterpflichten nach Art. 16",IF(D50="Ja","Betreiberpflichten nach Art. 26",IF(COUNTA(C50:H50)=6,"keine Anbieter-/Betreiberrolle — Einführer-/Händlerpflichten (Art. 23, 24) prüfen","noch offen — bitte alle Fragen beantworten"))))))</f>
        <v/>
      </c>
      <c r="K50" s="13"/>
      <c r="L50" s="11"/>
    </row>
    <row r="51" customFormat="false" ht="25.5" hidden="false" customHeight="true" outlineLevel="0" collapsed="false">
      <c r="A51" s="7"/>
      <c r="B51" s="12" t="n">
        <f aca="false">IFERROR(INDEX('01_KI-Inventar'!$B$6:$B$65,MATCH(A51,'01_KI-Inventar'!$A$6:$A$65,0)),"")</f>
        <v>0</v>
      </c>
      <c r="C51" s="7"/>
      <c r="D51" s="7"/>
      <c r="E51" s="7"/>
      <c r="F51" s="7"/>
      <c r="G51" s="7"/>
      <c r="H51" s="7"/>
      <c r="I51" s="12" t="str">
        <f aca="false">IF(A51="","",IF(OR(C51="Ja",E51="Ja",F51="Ja",G51="Ja",H51="Ja"),IF(D51="Ja","Anbieter und Betreiber","Anbieter"),IF(D51="Ja","Betreiber",IF(COUNTA(C51:H51)=6,"keine Anbieter-/Betreiberrolle","noch offen"))))</f>
        <v/>
      </c>
      <c r="J51" s="12" t="str">
        <f aca="false">IF(A51="","",IF(OR(E51="Ja",F51="Ja",G51="Ja",H51="Ja"),IF(D51="Ja","Rollenwechsel nach Art. 25 — Anbieterpflichten (Art. 16) UND Betreiberpflichten (Art. 26)","Rollenwechsel nach Art. 25 — volle Anbieterpflichten nach Art. 16"),IF(AND(C51="Ja",D51="Ja"),"Anbieterpflichten (Art. 16) UND Betreiberpflichten (Art. 26)",IF(C51="Ja","Anbieterpflichten nach Art. 16",IF(D51="Ja","Betreiberpflichten nach Art. 26",IF(COUNTA(C51:H51)=6,"keine Anbieter-/Betreiberrolle — Einführer-/Händlerpflichten (Art. 23, 24) prüfen","noch offen — bitte alle Fragen beantworten"))))))</f>
        <v/>
      </c>
      <c r="K51" s="13"/>
      <c r="L51" s="11"/>
    </row>
    <row r="52" customFormat="false" ht="25.5" hidden="false" customHeight="true" outlineLevel="0" collapsed="false">
      <c r="A52" s="7"/>
      <c r="B52" s="12" t="n">
        <f aca="false">IFERROR(INDEX('01_KI-Inventar'!$B$6:$B$65,MATCH(A52,'01_KI-Inventar'!$A$6:$A$65,0)),"")</f>
        <v>0</v>
      </c>
      <c r="C52" s="7"/>
      <c r="D52" s="7"/>
      <c r="E52" s="7"/>
      <c r="F52" s="7"/>
      <c r="G52" s="7"/>
      <c r="H52" s="7"/>
      <c r="I52" s="12" t="str">
        <f aca="false">IF(A52="","",IF(OR(C52="Ja",E52="Ja",F52="Ja",G52="Ja",H52="Ja"),IF(D52="Ja","Anbieter und Betreiber","Anbieter"),IF(D52="Ja","Betreiber",IF(COUNTA(C52:H52)=6,"keine Anbieter-/Betreiberrolle","noch offen"))))</f>
        <v/>
      </c>
      <c r="J52" s="12" t="str">
        <f aca="false">IF(A52="","",IF(OR(E52="Ja",F52="Ja",G52="Ja",H52="Ja"),IF(D52="Ja","Rollenwechsel nach Art. 25 — Anbieterpflichten (Art. 16) UND Betreiberpflichten (Art. 26)","Rollenwechsel nach Art. 25 — volle Anbieterpflichten nach Art. 16"),IF(AND(C52="Ja",D52="Ja"),"Anbieterpflichten (Art. 16) UND Betreiberpflichten (Art. 26)",IF(C52="Ja","Anbieterpflichten nach Art. 16",IF(D52="Ja","Betreiberpflichten nach Art. 26",IF(COUNTA(C52:H52)=6,"keine Anbieter-/Betreiberrolle — Einführer-/Händlerpflichten (Art. 23, 24) prüfen","noch offen — bitte alle Fragen beantworten"))))))</f>
        <v/>
      </c>
      <c r="K52" s="13"/>
      <c r="L52" s="11"/>
    </row>
    <row r="53" customFormat="false" ht="25.5" hidden="false" customHeight="true" outlineLevel="0" collapsed="false">
      <c r="A53" s="7"/>
      <c r="B53" s="12" t="n">
        <f aca="false">IFERROR(INDEX('01_KI-Inventar'!$B$6:$B$65,MATCH(A53,'01_KI-Inventar'!$A$6:$A$65,0)),"")</f>
        <v>0</v>
      </c>
      <c r="C53" s="7"/>
      <c r="D53" s="7"/>
      <c r="E53" s="7"/>
      <c r="F53" s="7"/>
      <c r="G53" s="7"/>
      <c r="H53" s="7"/>
      <c r="I53" s="12" t="str">
        <f aca="false">IF(A53="","",IF(OR(C53="Ja",E53="Ja",F53="Ja",G53="Ja",H53="Ja"),IF(D53="Ja","Anbieter und Betreiber","Anbieter"),IF(D53="Ja","Betreiber",IF(COUNTA(C53:H53)=6,"keine Anbieter-/Betreiberrolle","noch offen"))))</f>
        <v/>
      </c>
      <c r="J53" s="12" t="str">
        <f aca="false">IF(A53="","",IF(OR(E53="Ja",F53="Ja",G53="Ja",H53="Ja"),IF(D53="Ja","Rollenwechsel nach Art. 25 — Anbieterpflichten (Art. 16) UND Betreiberpflichten (Art. 26)","Rollenwechsel nach Art. 25 — volle Anbieterpflichten nach Art. 16"),IF(AND(C53="Ja",D53="Ja"),"Anbieterpflichten (Art. 16) UND Betreiberpflichten (Art. 26)",IF(C53="Ja","Anbieterpflichten nach Art. 16",IF(D53="Ja","Betreiberpflichten nach Art. 26",IF(COUNTA(C53:H53)=6,"keine Anbieter-/Betreiberrolle — Einführer-/Händlerpflichten (Art. 23, 24) prüfen","noch offen — bitte alle Fragen beantworten"))))))</f>
        <v/>
      </c>
      <c r="K53" s="13"/>
      <c r="L53" s="11"/>
    </row>
    <row r="54" customFormat="false" ht="25.5" hidden="false" customHeight="true" outlineLevel="0" collapsed="false">
      <c r="A54" s="7"/>
      <c r="B54" s="12" t="n">
        <f aca="false">IFERROR(INDEX('01_KI-Inventar'!$B$6:$B$65,MATCH(A54,'01_KI-Inventar'!$A$6:$A$65,0)),"")</f>
        <v>0</v>
      </c>
      <c r="C54" s="7"/>
      <c r="D54" s="7"/>
      <c r="E54" s="7"/>
      <c r="F54" s="7"/>
      <c r="G54" s="7"/>
      <c r="H54" s="7"/>
      <c r="I54" s="12" t="str">
        <f aca="false">IF(A54="","",IF(OR(C54="Ja",E54="Ja",F54="Ja",G54="Ja",H54="Ja"),IF(D54="Ja","Anbieter und Betreiber","Anbieter"),IF(D54="Ja","Betreiber",IF(COUNTA(C54:H54)=6,"keine Anbieter-/Betreiberrolle","noch offen"))))</f>
        <v/>
      </c>
      <c r="J54" s="12" t="str">
        <f aca="false">IF(A54="","",IF(OR(E54="Ja",F54="Ja",G54="Ja",H54="Ja"),IF(D54="Ja","Rollenwechsel nach Art. 25 — Anbieterpflichten (Art. 16) UND Betreiberpflichten (Art. 26)","Rollenwechsel nach Art. 25 — volle Anbieterpflichten nach Art. 16"),IF(AND(C54="Ja",D54="Ja"),"Anbieterpflichten (Art. 16) UND Betreiberpflichten (Art. 26)",IF(C54="Ja","Anbieterpflichten nach Art. 16",IF(D54="Ja","Betreiberpflichten nach Art. 26",IF(COUNTA(C54:H54)=6,"keine Anbieter-/Betreiberrolle — Einführer-/Händlerpflichten (Art. 23, 24) prüfen","noch offen — bitte alle Fragen beantworten"))))))</f>
        <v/>
      </c>
      <c r="K54" s="13"/>
      <c r="L54" s="11"/>
    </row>
    <row r="55" customFormat="false" ht="25.5" hidden="false" customHeight="true" outlineLevel="0" collapsed="false">
      <c r="A55" s="7"/>
      <c r="B55" s="12" t="n">
        <f aca="false">IFERROR(INDEX('01_KI-Inventar'!$B$6:$B$65,MATCH(A55,'01_KI-Inventar'!$A$6:$A$65,0)),"")</f>
        <v>0</v>
      </c>
      <c r="C55" s="7"/>
      <c r="D55" s="7"/>
      <c r="E55" s="7"/>
      <c r="F55" s="7"/>
      <c r="G55" s="7"/>
      <c r="H55" s="7"/>
      <c r="I55" s="12" t="str">
        <f aca="false">IF(A55="","",IF(OR(C55="Ja",E55="Ja",F55="Ja",G55="Ja",H55="Ja"),IF(D55="Ja","Anbieter und Betreiber","Anbieter"),IF(D55="Ja","Betreiber",IF(COUNTA(C55:H55)=6,"keine Anbieter-/Betreiberrolle","noch offen"))))</f>
        <v/>
      </c>
      <c r="J55" s="12" t="str">
        <f aca="false">IF(A55="","",IF(OR(E55="Ja",F55="Ja",G55="Ja",H55="Ja"),IF(D55="Ja","Rollenwechsel nach Art. 25 — Anbieterpflichten (Art. 16) UND Betreiberpflichten (Art. 26)","Rollenwechsel nach Art. 25 — volle Anbieterpflichten nach Art. 16"),IF(AND(C55="Ja",D55="Ja"),"Anbieterpflichten (Art. 16) UND Betreiberpflichten (Art. 26)",IF(C55="Ja","Anbieterpflichten nach Art. 16",IF(D55="Ja","Betreiberpflichten nach Art. 26",IF(COUNTA(C55:H55)=6,"keine Anbieter-/Betreiberrolle — Einführer-/Händlerpflichten (Art. 23, 24) prüfen","noch offen — bitte alle Fragen beantworten"))))))</f>
        <v/>
      </c>
      <c r="K55" s="13"/>
      <c r="L55" s="11"/>
    </row>
    <row r="56" customFormat="false" ht="25.5" hidden="false" customHeight="true" outlineLevel="0" collapsed="false">
      <c r="A56" s="7"/>
      <c r="B56" s="12" t="n">
        <f aca="false">IFERROR(INDEX('01_KI-Inventar'!$B$6:$B$65,MATCH(A56,'01_KI-Inventar'!$A$6:$A$65,0)),"")</f>
        <v>0</v>
      </c>
      <c r="C56" s="7"/>
      <c r="D56" s="7"/>
      <c r="E56" s="7"/>
      <c r="F56" s="7"/>
      <c r="G56" s="7"/>
      <c r="H56" s="7"/>
      <c r="I56" s="12" t="str">
        <f aca="false">IF(A56="","",IF(OR(C56="Ja",E56="Ja",F56="Ja",G56="Ja",H56="Ja"),IF(D56="Ja","Anbieter und Betreiber","Anbieter"),IF(D56="Ja","Betreiber",IF(COUNTA(C56:H56)=6,"keine Anbieter-/Betreiberrolle","noch offen"))))</f>
        <v/>
      </c>
      <c r="J56" s="12" t="str">
        <f aca="false">IF(A56="","",IF(OR(E56="Ja",F56="Ja",G56="Ja",H56="Ja"),IF(D56="Ja","Rollenwechsel nach Art. 25 — Anbieterpflichten (Art. 16) UND Betreiberpflichten (Art. 26)","Rollenwechsel nach Art. 25 — volle Anbieterpflichten nach Art. 16"),IF(AND(C56="Ja",D56="Ja"),"Anbieterpflichten (Art. 16) UND Betreiberpflichten (Art. 26)",IF(C56="Ja","Anbieterpflichten nach Art. 16",IF(D56="Ja","Betreiberpflichten nach Art. 26",IF(COUNTA(C56:H56)=6,"keine Anbieter-/Betreiberrolle — Einführer-/Händlerpflichten (Art. 23, 24) prüfen","noch offen — bitte alle Fragen beantworten"))))))</f>
        <v/>
      </c>
      <c r="K56" s="13"/>
      <c r="L56" s="11"/>
    </row>
    <row r="57" customFormat="false" ht="25.5" hidden="false" customHeight="true" outlineLevel="0" collapsed="false">
      <c r="A57" s="7"/>
      <c r="B57" s="12" t="n">
        <f aca="false">IFERROR(INDEX('01_KI-Inventar'!$B$6:$B$65,MATCH(A57,'01_KI-Inventar'!$A$6:$A$65,0)),"")</f>
        <v>0</v>
      </c>
      <c r="C57" s="7"/>
      <c r="D57" s="7"/>
      <c r="E57" s="7"/>
      <c r="F57" s="7"/>
      <c r="G57" s="7"/>
      <c r="H57" s="7"/>
      <c r="I57" s="12" t="str">
        <f aca="false">IF(A57="","",IF(OR(C57="Ja",E57="Ja",F57="Ja",G57="Ja",H57="Ja"),IF(D57="Ja","Anbieter und Betreiber","Anbieter"),IF(D57="Ja","Betreiber",IF(COUNTA(C57:H57)=6,"keine Anbieter-/Betreiberrolle","noch offen"))))</f>
        <v/>
      </c>
      <c r="J57" s="12" t="str">
        <f aca="false">IF(A57="","",IF(OR(E57="Ja",F57="Ja",G57="Ja",H57="Ja"),IF(D57="Ja","Rollenwechsel nach Art. 25 — Anbieterpflichten (Art. 16) UND Betreiberpflichten (Art. 26)","Rollenwechsel nach Art. 25 — volle Anbieterpflichten nach Art. 16"),IF(AND(C57="Ja",D57="Ja"),"Anbieterpflichten (Art. 16) UND Betreiberpflichten (Art. 26)",IF(C57="Ja","Anbieterpflichten nach Art. 16",IF(D57="Ja","Betreiberpflichten nach Art. 26",IF(COUNTA(C57:H57)=6,"keine Anbieter-/Betreiberrolle — Einführer-/Händlerpflichten (Art. 23, 24) prüfen","noch offen — bitte alle Fragen beantworten"))))))</f>
        <v/>
      </c>
      <c r="K57" s="13"/>
      <c r="L57" s="11"/>
    </row>
    <row r="58" customFormat="false" ht="25.5" hidden="false" customHeight="true" outlineLevel="0" collapsed="false">
      <c r="A58" s="7"/>
      <c r="B58" s="12" t="n">
        <f aca="false">IFERROR(INDEX('01_KI-Inventar'!$B$6:$B$65,MATCH(A58,'01_KI-Inventar'!$A$6:$A$65,0)),"")</f>
        <v>0</v>
      </c>
      <c r="C58" s="7"/>
      <c r="D58" s="7"/>
      <c r="E58" s="7"/>
      <c r="F58" s="7"/>
      <c r="G58" s="7"/>
      <c r="H58" s="7"/>
      <c r="I58" s="12" t="str">
        <f aca="false">IF(A58="","",IF(OR(C58="Ja",E58="Ja",F58="Ja",G58="Ja",H58="Ja"),IF(D58="Ja","Anbieter und Betreiber","Anbieter"),IF(D58="Ja","Betreiber",IF(COUNTA(C58:H58)=6,"keine Anbieter-/Betreiberrolle","noch offen"))))</f>
        <v/>
      </c>
      <c r="J58" s="12" t="str">
        <f aca="false">IF(A58="","",IF(OR(E58="Ja",F58="Ja",G58="Ja",H58="Ja"),IF(D58="Ja","Rollenwechsel nach Art. 25 — Anbieterpflichten (Art. 16) UND Betreiberpflichten (Art. 26)","Rollenwechsel nach Art. 25 — volle Anbieterpflichten nach Art. 16"),IF(AND(C58="Ja",D58="Ja"),"Anbieterpflichten (Art. 16) UND Betreiberpflichten (Art. 26)",IF(C58="Ja","Anbieterpflichten nach Art. 16",IF(D58="Ja","Betreiberpflichten nach Art. 26",IF(COUNTA(C58:H58)=6,"keine Anbieter-/Betreiberrolle — Einführer-/Händlerpflichten (Art. 23, 24) prüfen","noch offen — bitte alle Fragen beantworten"))))))</f>
        <v/>
      </c>
      <c r="K58" s="13"/>
      <c r="L58" s="11"/>
    </row>
    <row r="59" customFormat="false" ht="25.5" hidden="false" customHeight="true" outlineLevel="0" collapsed="false">
      <c r="A59" s="7"/>
      <c r="B59" s="12" t="n">
        <f aca="false">IFERROR(INDEX('01_KI-Inventar'!$B$6:$B$65,MATCH(A59,'01_KI-Inventar'!$A$6:$A$65,0)),"")</f>
        <v>0</v>
      </c>
      <c r="C59" s="7"/>
      <c r="D59" s="7"/>
      <c r="E59" s="7"/>
      <c r="F59" s="7"/>
      <c r="G59" s="7"/>
      <c r="H59" s="7"/>
      <c r="I59" s="12" t="str">
        <f aca="false">IF(A59="","",IF(OR(C59="Ja",E59="Ja",F59="Ja",G59="Ja",H59="Ja"),IF(D59="Ja","Anbieter und Betreiber","Anbieter"),IF(D59="Ja","Betreiber",IF(COUNTA(C59:H59)=6,"keine Anbieter-/Betreiberrolle","noch offen"))))</f>
        <v/>
      </c>
      <c r="J59" s="12" t="str">
        <f aca="false">IF(A59="","",IF(OR(E59="Ja",F59="Ja",G59="Ja",H59="Ja"),IF(D59="Ja","Rollenwechsel nach Art. 25 — Anbieterpflichten (Art. 16) UND Betreiberpflichten (Art. 26)","Rollenwechsel nach Art. 25 — volle Anbieterpflichten nach Art. 16"),IF(AND(C59="Ja",D59="Ja"),"Anbieterpflichten (Art. 16) UND Betreiberpflichten (Art. 26)",IF(C59="Ja","Anbieterpflichten nach Art. 16",IF(D59="Ja","Betreiberpflichten nach Art. 26",IF(COUNTA(C59:H59)=6,"keine Anbieter-/Betreiberrolle — Einführer-/Händlerpflichten (Art. 23, 24) prüfen","noch offen — bitte alle Fragen beantworten"))))))</f>
        <v/>
      </c>
      <c r="K59" s="13"/>
      <c r="L59" s="11"/>
    </row>
    <row r="60" customFormat="false" ht="25.5" hidden="false" customHeight="true" outlineLevel="0" collapsed="false">
      <c r="A60" s="7"/>
      <c r="B60" s="12" t="n">
        <f aca="false">IFERROR(INDEX('01_KI-Inventar'!$B$6:$B$65,MATCH(A60,'01_KI-Inventar'!$A$6:$A$65,0)),"")</f>
        <v>0</v>
      </c>
      <c r="C60" s="7"/>
      <c r="D60" s="7"/>
      <c r="E60" s="7"/>
      <c r="F60" s="7"/>
      <c r="G60" s="7"/>
      <c r="H60" s="7"/>
      <c r="I60" s="12" t="str">
        <f aca="false">IF(A60="","",IF(OR(C60="Ja",E60="Ja",F60="Ja",G60="Ja",H60="Ja"),IF(D60="Ja","Anbieter und Betreiber","Anbieter"),IF(D60="Ja","Betreiber",IF(COUNTA(C60:H60)=6,"keine Anbieter-/Betreiberrolle","noch offen"))))</f>
        <v/>
      </c>
      <c r="J60" s="12" t="str">
        <f aca="false">IF(A60="","",IF(OR(E60="Ja",F60="Ja",G60="Ja",H60="Ja"),IF(D60="Ja","Rollenwechsel nach Art. 25 — Anbieterpflichten (Art. 16) UND Betreiberpflichten (Art. 26)","Rollenwechsel nach Art. 25 — volle Anbieterpflichten nach Art. 16"),IF(AND(C60="Ja",D60="Ja"),"Anbieterpflichten (Art. 16) UND Betreiberpflichten (Art. 26)",IF(C60="Ja","Anbieterpflichten nach Art. 16",IF(D60="Ja","Betreiberpflichten nach Art. 26",IF(COUNTA(C60:H60)=6,"keine Anbieter-/Betreiberrolle — Einführer-/Händlerpflichten (Art. 23, 24) prüfen","noch offen — bitte alle Fragen beantworten"))))))</f>
        <v/>
      </c>
      <c r="K60" s="13"/>
      <c r="L60" s="11"/>
    </row>
    <row r="61" customFormat="false" ht="25.5" hidden="false" customHeight="true" outlineLevel="0" collapsed="false">
      <c r="A61" s="7"/>
      <c r="B61" s="12" t="n">
        <f aca="false">IFERROR(INDEX('01_KI-Inventar'!$B$6:$B$65,MATCH(A61,'01_KI-Inventar'!$A$6:$A$65,0)),"")</f>
        <v>0</v>
      </c>
      <c r="C61" s="7"/>
      <c r="D61" s="7"/>
      <c r="E61" s="7"/>
      <c r="F61" s="7"/>
      <c r="G61" s="7"/>
      <c r="H61" s="7"/>
      <c r="I61" s="12" t="str">
        <f aca="false">IF(A61="","",IF(OR(C61="Ja",E61="Ja",F61="Ja",G61="Ja",H61="Ja"),IF(D61="Ja","Anbieter und Betreiber","Anbieter"),IF(D61="Ja","Betreiber",IF(COUNTA(C61:H61)=6,"keine Anbieter-/Betreiberrolle","noch offen"))))</f>
        <v/>
      </c>
      <c r="J61" s="12" t="str">
        <f aca="false">IF(A61="","",IF(OR(E61="Ja",F61="Ja",G61="Ja",H61="Ja"),IF(D61="Ja","Rollenwechsel nach Art. 25 — Anbieterpflichten (Art. 16) UND Betreiberpflichten (Art. 26)","Rollenwechsel nach Art. 25 — volle Anbieterpflichten nach Art. 16"),IF(AND(C61="Ja",D61="Ja"),"Anbieterpflichten (Art. 16) UND Betreiberpflichten (Art. 26)",IF(C61="Ja","Anbieterpflichten nach Art. 16",IF(D61="Ja","Betreiberpflichten nach Art. 26",IF(COUNTA(C61:H61)=6,"keine Anbieter-/Betreiberrolle — Einführer-/Händlerpflichten (Art. 23, 24) prüfen","noch offen — bitte alle Fragen beantworten"))))))</f>
        <v/>
      </c>
      <c r="K61" s="13"/>
      <c r="L61" s="11"/>
    </row>
    <row r="62" customFormat="false" ht="25.5" hidden="false" customHeight="true" outlineLevel="0" collapsed="false">
      <c r="A62" s="7"/>
      <c r="B62" s="12" t="n">
        <f aca="false">IFERROR(INDEX('01_KI-Inventar'!$B$6:$B$65,MATCH(A62,'01_KI-Inventar'!$A$6:$A$65,0)),"")</f>
        <v>0</v>
      </c>
      <c r="C62" s="7"/>
      <c r="D62" s="7"/>
      <c r="E62" s="7"/>
      <c r="F62" s="7"/>
      <c r="G62" s="7"/>
      <c r="H62" s="7"/>
      <c r="I62" s="12" t="str">
        <f aca="false">IF(A62="","",IF(OR(C62="Ja",E62="Ja",F62="Ja",G62="Ja",H62="Ja"),IF(D62="Ja","Anbieter und Betreiber","Anbieter"),IF(D62="Ja","Betreiber",IF(COUNTA(C62:H62)=6,"keine Anbieter-/Betreiberrolle","noch offen"))))</f>
        <v/>
      </c>
      <c r="J62" s="12" t="str">
        <f aca="false">IF(A62="","",IF(OR(E62="Ja",F62="Ja",G62="Ja",H62="Ja"),IF(D62="Ja","Rollenwechsel nach Art. 25 — Anbieterpflichten (Art. 16) UND Betreiberpflichten (Art. 26)","Rollenwechsel nach Art. 25 — volle Anbieterpflichten nach Art. 16"),IF(AND(C62="Ja",D62="Ja"),"Anbieterpflichten (Art. 16) UND Betreiberpflichten (Art. 26)",IF(C62="Ja","Anbieterpflichten nach Art. 16",IF(D62="Ja","Betreiberpflichten nach Art. 26",IF(COUNTA(C62:H62)=6,"keine Anbieter-/Betreiberrolle — Einführer-/Händlerpflichten (Art. 23, 24) prüfen","noch offen — bitte alle Fragen beantworten"))))))</f>
        <v/>
      </c>
      <c r="K62" s="13"/>
      <c r="L62" s="11"/>
    </row>
    <row r="63" customFormat="false" ht="25.5" hidden="false" customHeight="true" outlineLevel="0" collapsed="false">
      <c r="A63" s="7"/>
      <c r="B63" s="12" t="n">
        <f aca="false">IFERROR(INDEX('01_KI-Inventar'!$B$6:$B$65,MATCH(A63,'01_KI-Inventar'!$A$6:$A$65,0)),"")</f>
        <v>0</v>
      </c>
      <c r="C63" s="7"/>
      <c r="D63" s="7"/>
      <c r="E63" s="7"/>
      <c r="F63" s="7"/>
      <c r="G63" s="7"/>
      <c r="H63" s="7"/>
      <c r="I63" s="12" t="str">
        <f aca="false">IF(A63="","",IF(OR(C63="Ja",E63="Ja",F63="Ja",G63="Ja",H63="Ja"),IF(D63="Ja","Anbieter und Betreiber","Anbieter"),IF(D63="Ja","Betreiber",IF(COUNTA(C63:H63)=6,"keine Anbieter-/Betreiberrolle","noch offen"))))</f>
        <v/>
      </c>
      <c r="J63" s="12" t="str">
        <f aca="false">IF(A63="","",IF(OR(E63="Ja",F63="Ja",G63="Ja",H63="Ja"),IF(D63="Ja","Rollenwechsel nach Art. 25 — Anbieterpflichten (Art. 16) UND Betreiberpflichten (Art. 26)","Rollenwechsel nach Art. 25 — volle Anbieterpflichten nach Art. 16"),IF(AND(C63="Ja",D63="Ja"),"Anbieterpflichten (Art. 16) UND Betreiberpflichten (Art. 26)",IF(C63="Ja","Anbieterpflichten nach Art. 16",IF(D63="Ja","Betreiberpflichten nach Art. 26",IF(COUNTA(C63:H63)=6,"keine Anbieter-/Betreiberrolle — Einführer-/Händlerpflichten (Art. 23, 24) prüfen","noch offen — bitte alle Fragen beantworten"))))))</f>
        <v/>
      </c>
      <c r="K63" s="13"/>
      <c r="L63" s="11"/>
    </row>
    <row r="64" customFormat="false" ht="25.5" hidden="false" customHeight="true" outlineLevel="0" collapsed="false">
      <c r="A64" s="7"/>
      <c r="B64" s="12" t="n">
        <f aca="false">IFERROR(INDEX('01_KI-Inventar'!$B$6:$B$65,MATCH(A64,'01_KI-Inventar'!$A$6:$A$65,0)),"")</f>
        <v>0</v>
      </c>
      <c r="C64" s="7"/>
      <c r="D64" s="7"/>
      <c r="E64" s="7"/>
      <c r="F64" s="7"/>
      <c r="G64" s="7"/>
      <c r="H64" s="7"/>
      <c r="I64" s="12" t="str">
        <f aca="false">IF(A64="","",IF(OR(C64="Ja",E64="Ja",F64="Ja",G64="Ja",H64="Ja"),IF(D64="Ja","Anbieter und Betreiber","Anbieter"),IF(D64="Ja","Betreiber",IF(COUNTA(C64:H64)=6,"keine Anbieter-/Betreiberrolle","noch offen"))))</f>
        <v/>
      </c>
      <c r="J64" s="12" t="str">
        <f aca="false">IF(A64="","",IF(OR(E64="Ja",F64="Ja",G64="Ja",H64="Ja"),IF(D64="Ja","Rollenwechsel nach Art. 25 — Anbieterpflichten (Art. 16) UND Betreiberpflichten (Art. 26)","Rollenwechsel nach Art. 25 — volle Anbieterpflichten nach Art. 16"),IF(AND(C64="Ja",D64="Ja"),"Anbieterpflichten (Art. 16) UND Betreiberpflichten (Art. 26)",IF(C64="Ja","Anbieterpflichten nach Art. 16",IF(D64="Ja","Betreiberpflichten nach Art. 26",IF(COUNTA(C64:H64)=6,"keine Anbieter-/Betreiberrolle — Einführer-/Händlerpflichten (Art. 23, 24) prüfen","noch offen — bitte alle Fragen beantworten"))))))</f>
        <v/>
      </c>
      <c r="K64" s="13"/>
      <c r="L64" s="11"/>
    </row>
    <row r="65" customFormat="false" ht="25.5" hidden="false" customHeight="true" outlineLevel="0" collapsed="false">
      <c r="A65" s="7"/>
      <c r="B65" s="12" t="n">
        <f aca="false">IFERROR(INDEX('01_KI-Inventar'!$B$6:$B$65,MATCH(A65,'01_KI-Inventar'!$A$6:$A$65,0)),"")</f>
        <v>0</v>
      </c>
      <c r="C65" s="7"/>
      <c r="D65" s="7"/>
      <c r="E65" s="7"/>
      <c r="F65" s="7"/>
      <c r="G65" s="7"/>
      <c r="H65" s="7"/>
      <c r="I65" s="12" t="str">
        <f aca="false">IF(A65="","",IF(OR(C65="Ja",E65="Ja",F65="Ja",G65="Ja",H65="Ja"),IF(D65="Ja","Anbieter und Betreiber","Anbieter"),IF(D65="Ja","Betreiber",IF(COUNTA(C65:H65)=6,"keine Anbieter-/Betreiberrolle","noch offen"))))</f>
        <v/>
      </c>
      <c r="J65" s="12" t="str">
        <f aca="false">IF(A65="","",IF(OR(E65="Ja",F65="Ja",G65="Ja",H65="Ja"),IF(D65="Ja","Rollenwechsel nach Art. 25 — Anbieterpflichten (Art. 16) UND Betreiberpflichten (Art. 26)","Rollenwechsel nach Art. 25 — volle Anbieterpflichten nach Art. 16"),IF(AND(C65="Ja",D65="Ja"),"Anbieterpflichten (Art. 16) UND Betreiberpflichten (Art. 26)",IF(C65="Ja","Anbieterpflichten nach Art. 16",IF(D65="Ja","Betreiberpflichten nach Art. 26",IF(COUNTA(C65:H65)=6,"keine Anbieter-/Betreiberrolle — Einführer-/Händlerpflichten (Art. 23, 24) prüfen","noch offen — bitte alle Fragen beantworten"))))))</f>
        <v/>
      </c>
      <c r="K65" s="13"/>
      <c r="L65" s="11"/>
    </row>
  </sheetData>
  <mergeCells count="2">
    <mergeCell ref="A1:K1"/>
    <mergeCell ref="A2:K2"/>
  </mergeCells>
  <conditionalFormatting sqref="J6:J65">
    <cfRule type="expression" priority="2" aboveAverage="0" equalAverage="0" bottom="0" percent="0" rank="0" text="" dxfId="0">
      <formula>ISNUMBER(SEARCH("Rollenwechsel",J6))</formula>
    </cfRule>
  </conditionalFormatting>
  <dataValidations count="7">
    <dataValidation allowBlank="true" error="Bitte einen Wert aus der Liste wählen. Freitext führt zu falschen Einstufungen." errorStyle="stop" errorTitle="Ungültige Eingabe" operator="between" showDropDown="false" showErrorMessage="true" showInputMessage="false" sqref="A6:A65" type="list">
      <formula1>'01_KI-Inventar'!$A$6:$A$65</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C6:C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D6:D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E6:E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F6:F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G6:G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H6:H65" type="list">
      <formula1>'08_Register'!$A$5:$A$7</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26"/>
    <col collapsed="false" customWidth="true" hidden="false" outlineLevel="0" max="4" min="4" style="0" width="28"/>
    <col collapsed="false" customWidth="true" hidden="false" outlineLevel="0" max="5" min="5" style="0" width="32"/>
    <col collapsed="false" customWidth="true" hidden="false" outlineLevel="0" max="6" min="6" style="0" width="22"/>
    <col collapsed="false" customWidth="true" hidden="false" outlineLevel="0" max="7" min="7" style="0" width="26"/>
    <col collapsed="false" customWidth="true" hidden="false" outlineLevel="0" max="8" min="8" style="0" width="34"/>
    <col collapsed="false" customWidth="true" hidden="false" outlineLevel="0" max="9" min="9" style="0" width="26"/>
    <col collapsed="false" customWidth="true" hidden="false" outlineLevel="0" max="10" min="10" style="0" width="20"/>
    <col collapsed="false" customWidth="true" hidden="false" outlineLevel="0" max="11" min="11" style="0" width="32"/>
    <col collapsed="false" customWidth="true" hidden="false" outlineLevel="0" max="12" min="12" style="0" width="20"/>
    <col collapsed="false" customWidth="true" hidden="false" outlineLevel="0" max="13" min="13" style="0" width="46"/>
    <col collapsed="false" customWidth="true" hidden="false" outlineLevel="0" max="14" min="14" style="0" width="13"/>
  </cols>
  <sheetData>
    <row r="1" customFormat="false" ht="24" hidden="false" customHeight="true" outlineLevel="0" collapsed="false">
      <c r="A1" s="1" t="s">
        <v>96</v>
      </c>
      <c r="B1" s="1"/>
      <c r="C1" s="1"/>
      <c r="D1" s="1"/>
      <c r="E1" s="1"/>
      <c r="F1" s="1"/>
      <c r="G1" s="1"/>
      <c r="H1" s="1"/>
      <c r="I1" s="1"/>
      <c r="J1" s="1"/>
      <c r="K1" s="1"/>
      <c r="L1" s="1"/>
      <c r="M1" s="1"/>
      <c r="N1" s="1"/>
    </row>
    <row r="2" customFormat="false" ht="15" hidden="false" customHeight="false" outlineLevel="0" collapsed="false">
      <c r="A2" s="2" t="s">
        <v>97</v>
      </c>
      <c r="B2" s="2"/>
      <c r="C2" s="2"/>
      <c r="D2" s="2"/>
      <c r="E2" s="2"/>
      <c r="F2" s="2"/>
      <c r="G2" s="2"/>
      <c r="H2" s="2"/>
      <c r="I2" s="2"/>
      <c r="J2" s="2"/>
      <c r="K2" s="2"/>
      <c r="L2" s="2"/>
      <c r="M2" s="2"/>
      <c r="N2" s="2"/>
    </row>
    <row r="5" customFormat="false" ht="69.75" hidden="false" customHeight="true" outlineLevel="0" collapsed="false">
      <c r="A5" s="9" t="s">
        <v>59</v>
      </c>
      <c r="B5" s="9" t="s">
        <v>83</v>
      </c>
      <c r="C5" s="9" t="s">
        <v>98</v>
      </c>
      <c r="D5" s="9" t="s">
        <v>99</v>
      </c>
      <c r="E5" s="9" t="s">
        <v>100</v>
      </c>
      <c r="F5" s="9" t="s">
        <v>101</v>
      </c>
      <c r="G5" s="9" t="s">
        <v>102</v>
      </c>
      <c r="H5" s="9" t="s">
        <v>103</v>
      </c>
      <c r="I5" s="9" t="s">
        <v>104</v>
      </c>
      <c r="J5" s="9" t="s">
        <v>105</v>
      </c>
      <c r="K5" s="9" t="s">
        <v>106</v>
      </c>
      <c r="L5" s="9" t="s">
        <v>107</v>
      </c>
      <c r="M5" s="9" t="s">
        <v>108</v>
      </c>
      <c r="N5" s="9" t="s">
        <v>92</v>
      </c>
    </row>
    <row r="6" customFormat="false" ht="25.5" hidden="false" customHeight="true" outlineLevel="0" collapsed="false">
      <c r="A6" s="10" t="s">
        <v>70</v>
      </c>
      <c r="B6" s="12" t="str">
        <f aca="false">IFERROR(INDEX('01_KI-Inventar'!$B$6:$B$65,MATCH(A6,'01_KI-Inventar'!$A$6:$A$65,0)),"")</f>
        <v>Bewerber-Vorauswahl (Beispiel)</v>
      </c>
      <c r="C6" s="10" t="s">
        <v>94</v>
      </c>
      <c r="D6" s="10" t="s">
        <v>94</v>
      </c>
      <c r="E6" s="10" t="s">
        <v>109</v>
      </c>
      <c r="F6" s="10" t="s">
        <v>95</v>
      </c>
      <c r="G6" s="10" t="s">
        <v>94</v>
      </c>
      <c r="H6" s="10" t="s">
        <v>110</v>
      </c>
      <c r="I6" s="12" t="str">
        <f aca="false">IF(A6="","",IF(OR(C6="",D6="",E6="",H6="",COUNTIF(C6:H6,"Prüfung offen")&gt;0,AND(E6&lt;&gt;"keiner",OR(F6="",AND(F6&lt;&gt;"Ja",G6="")))),"noch offen",IF(C6="Ja","VERBOTEN (Art. 5)",IF(AND(D6="Ja",E6&lt;&gt;"keiner"),"Hochrisiko Anhang I und Anhang III",IF(D6="Ja","Hochrisiko Anhang I",IF(E6&lt;&gt;"keiner",IF(F6="Ja","Hochrisiko Anhang III",IF(G6="Ja","Kein Hochrisiko (Art. 6 Abs. 3)","Hochrisiko Anhang III")),IF(H6&lt;&gt;"keiner","Transparenzpflicht (Art. 50)","Geringes Risiko")))))))</f>
        <v>Hochrisiko Anhang III</v>
      </c>
      <c r="J6" s="12" t="str">
        <f aca="false">IF(I6="","",IF(I6="VERBOTEN (Art. 5)","02.02.2025 (NCII/CSAM: 02.12.2026)",IF(I6="Hochrisiko Anhang I und Anhang III","02.12.2027 (Anhang III) / 02.08.2028 (Anhang I Abschn. A)",IF(I6="Hochrisiko Anhang I","02.08.2028 — nur Anhang I Abschnitt A; bei Abschnitt B (u. a. Maschinen) gilt Kapitel III nicht (Art. 2 Abs. 2 n. F.)",IF(I6="Hochrisiko Anhang III","02.12.2027",IF(I6="Transparenzpflicht (Art. 50)","02.08.2026",IF(I6="Kein Hochrisiko (Art. 6 Abs. 3)","Registrierung: 02.12.2027","—")))))))</f>
        <v>02.12.2027</v>
      </c>
      <c r="K6" s="12" t="str">
        <f aca="false">IF(I6="","",IF(I6="Kein Hochrisiko (Art. 6 Abs. 3)","Ja — Art. 49 Abs. 2 (Anbieter); Bewertung VOR Inverkehrbringen dokumentieren (Art. 6 Abs. 4)",IF(I6="Hochrisiko Anhang I","Nein — Art. 49 Abs. 1 gilt nur für Anhang III",IF(AND(LEFT(E6,1)="2",OR(I6="Hochrisiko Anhang III",I6="Hochrisiko Anhang I und Anhang III")),"Nein — Registrierung auf nationaler Ebene (Art. 49 Abs. 5)",IF(OR(I6="Hochrisiko Anhang III",I6="Hochrisiko Anhang I und Anhang III"),"Ja — Art. 49 Abs. 1 (Anbieter); Behörden als Betreiber: Art. 49 Abs. 3","Nein")))))</f>
        <v>Ja — Art. 49 Abs. 1 (Anbieter); Behörden als Betreiber: Art. 49 Abs. 3</v>
      </c>
      <c r="L6" s="12" t="str">
        <f aca="false">IF(A6="","",IF(I6="VERBOTEN (Art. 5)","entfällt — Einsatz unzulässig",IF(AND(H6&lt;&gt;"",H6&lt;&gt;"keiner"),"Ja — Art. 50 gilt zusätzlich ab 02.08.2026","Nein")))</f>
        <v>Nein</v>
      </c>
      <c r="M6" s="10" t="s">
        <v>111</v>
      </c>
      <c r="N6" s="13" t="n">
        <f aca="true">TODAY()</f>
        <v>46232</v>
      </c>
    </row>
    <row r="7" customFormat="false" ht="25.5" hidden="false" customHeight="true" outlineLevel="0" collapsed="false">
      <c r="A7" s="7"/>
      <c r="B7" s="12" t="n">
        <f aca="false">IFERROR(INDEX('01_KI-Inventar'!$B$6:$B$65,MATCH(A7,'01_KI-Inventar'!$A$6:$A$65,0)),"")</f>
        <v>0</v>
      </c>
      <c r="C7" s="7"/>
      <c r="D7" s="7"/>
      <c r="E7" s="7"/>
      <c r="F7" s="7"/>
      <c r="G7" s="7"/>
      <c r="H7" s="7"/>
      <c r="I7" s="12" t="str">
        <f aca="false">IF(A7="","",IF(OR(C7="",D7="",E7="",H7="",COUNTIF(C7:H7,"Prüfung offen")&gt;0,AND(E7&lt;&gt;"keiner",OR(F7="",AND(F7&lt;&gt;"Ja",G7="")))),"noch offen",IF(C7="Ja","VERBOTEN (Art. 5)",IF(AND(D7="Ja",E7&lt;&gt;"keiner"),"Hochrisiko Anhang I und Anhang III",IF(D7="Ja","Hochrisiko Anhang I",IF(E7&lt;&gt;"keiner",IF(F7="Ja","Hochrisiko Anhang III",IF(G7="Ja","Kein Hochrisiko (Art. 6 Abs. 3)","Hochrisiko Anhang III")),IF(H7&lt;&gt;"keiner","Transparenzpflicht (Art. 50)","Geringes Risiko")))))))</f>
        <v/>
      </c>
      <c r="J7" s="12" t="str">
        <f aca="false">IF(I7="","",IF(I7="VERBOTEN (Art. 5)","02.02.2025 (NCII/CSAM: 02.12.2026)",IF(I7="Hochrisiko Anhang I und Anhang III","02.12.2027 (Anhang III) / 02.08.2028 (Anhang I Abschn. A)",IF(I7="Hochrisiko Anhang I","02.08.2028 — nur Anhang I Abschnitt A; bei Abschnitt B (u. a. Maschinen) gilt Kapitel III nicht (Art. 2 Abs. 2 n. F.)",IF(I7="Hochrisiko Anhang III","02.12.2027",IF(I7="Transparenzpflicht (Art. 50)","02.08.2026",IF(I7="Kein Hochrisiko (Art. 6 Abs. 3)","Registrierung: 02.12.2027","—")))))))</f>
        <v/>
      </c>
      <c r="K7" s="12" t="str">
        <f aca="false">IF(I7="","",IF(I7="Kein Hochrisiko (Art. 6 Abs. 3)","Ja — Art. 49 Abs. 2 (Anbieter); Bewertung VOR Inverkehrbringen dokumentieren (Art. 6 Abs. 4)",IF(I7="Hochrisiko Anhang I","Nein — Art. 49 Abs. 1 gilt nur für Anhang III",IF(AND(LEFT(E7,1)="2",OR(I7="Hochrisiko Anhang III",I7="Hochrisiko Anhang I und Anhang III")),"Nein — Registrierung auf nationaler Ebene (Art. 49 Abs. 5)",IF(OR(I7="Hochrisiko Anhang III",I7="Hochrisiko Anhang I und Anhang III"),"Ja — Art. 49 Abs. 1 (Anbieter); Behörden als Betreiber: Art. 49 Abs. 3","Nein")))))</f>
        <v/>
      </c>
      <c r="L7" s="12" t="str">
        <f aca="false">IF(A7="","",IF(I7="VERBOTEN (Art. 5)","entfällt — Einsatz unzulässig",IF(AND(H7&lt;&gt;"",H7&lt;&gt;"keiner"),"Ja — Art. 50 gilt zusätzlich ab 02.08.2026","Nein")))</f>
        <v/>
      </c>
      <c r="M7" s="11"/>
      <c r="N7" s="13"/>
    </row>
    <row r="8" customFormat="false" ht="25.5" hidden="false" customHeight="true" outlineLevel="0" collapsed="false">
      <c r="A8" s="7"/>
      <c r="B8" s="12" t="n">
        <f aca="false">IFERROR(INDEX('01_KI-Inventar'!$B$6:$B$65,MATCH(A8,'01_KI-Inventar'!$A$6:$A$65,0)),"")</f>
        <v>0</v>
      </c>
      <c r="C8" s="7"/>
      <c r="D8" s="7"/>
      <c r="E8" s="7"/>
      <c r="F8" s="7"/>
      <c r="G8" s="7"/>
      <c r="H8" s="7"/>
      <c r="I8" s="12" t="str">
        <f aca="false">IF(A8="","",IF(OR(C8="",D8="",E8="",H8="",COUNTIF(C8:H8,"Prüfung offen")&gt;0,AND(E8&lt;&gt;"keiner",OR(F8="",AND(F8&lt;&gt;"Ja",G8="")))),"noch offen",IF(C8="Ja","VERBOTEN (Art. 5)",IF(AND(D8="Ja",E8&lt;&gt;"keiner"),"Hochrisiko Anhang I und Anhang III",IF(D8="Ja","Hochrisiko Anhang I",IF(E8&lt;&gt;"keiner",IF(F8="Ja","Hochrisiko Anhang III",IF(G8="Ja","Kein Hochrisiko (Art. 6 Abs. 3)","Hochrisiko Anhang III")),IF(H8&lt;&gt;"keiner","Transparenzpflicht (Art. 50)","Geringes Risiko")))))))</f>
        <v/>
      </c>
      <c r="J8" s="12" t="str">
        <f aca="false">IF(I8="","",IF(I8="VERBOTEN (Art. 5)","02.02.2025 (NCII/CSAM: 02.12.2026)",IF(I8="Hochrisiko Anhang I und Anhang III","02.12.2027 (Anhang III) / 02.08.2028 (Anhang I Abschn. A)",IF(I8="Hochrisiko Anhang I","02.08.2028 — nur Anhang I Abschnitt A; bei Abschnitt B (u. a. Maschinen) gilt Kapitel III nicht (Art. 2 Abs. 2 n. F.)",IF(I8="Hochrisiko Anhang III","02.12.2027",IF(I8="Transparenzpflicht (Art. 50)","02.08.2026",IF(I8="Kein Hochrisiko (Art. 6 Abs. 3)","Registrierung: 02.12.2027","—")))))))</f>
        <v/>
      </c>
      <c r="K8" s="12" t="str">
        <f aca="false">IF(I8="","",IF(I8="Kein Hochrisiko (Art. 6 Abs. 3)","Ja — Art. 49 Abs. 2 (Anbieter); Bewertung VOR Inverkehrbringen dokumentieren (Art. 6 Abs. 4)",IF(I8="Hochrisiko Anhang I","Nein — Art. 49 Abs. 1 gilt nur für Anhang III",IF(AND(LEFT(E8,1)="2",OR(I8="Hochrisiko Anhang III",I8="Hochrisiko Anhang I und Anhang III")),"Nein — Registrierung auf nationaler Ebene (Art. 49 Abs. 5)",IF(OR(I8="Hochrisiko Anhang III",I8="Hochrisiko Anhang I und Anhang III"),"Ja — Art. 49 Abs. 1 (Anbieter); Behörden als Betreiber: Art. 49 Abs. 3","Nein")))))</f>
        <v/>
      </c>
      <c r="L8" s="12" t="str">
        <f aca="false">IF(A8="","",IF(I8="VERBOTEN (Art. 5)","entfällt — Einsatz unzulässig",IF(AND(H8&lt;&gt;"",H8&lt;&gt;"keiner"),"Ja — Art. 50 gilt zusätzlich ab 02.08.2026","Nein")))</f>
        <v/>
      </c>
      <c r="M8" s="11"/>
      <c r="N8" s="13"/>
    </row>
    <row r="9" customFormat="false" ht="25.5" hidden="false" customHeight="true" outlineLevel="0" collapsed="false">
      <c r="A9" s="7"/>
      <c r="B9" s="12" t="n">
        <f aca="false">IFERROR(INDEX('01_KI-Inventar'!$B$6:$B$65,MATCH(A9,'01_KI-Inventar'!$A$6:$A$65,0)),"")</f>
        <v>0</v>
      </c>
      <c r="C9" s="7"/>
      <c r="D9" s="7"/>
      <c r="E9" s="7"/>
      <c r="F9" s="7"/>
      <c r="G9" s="7"/>
      <c r="H9" s="7"/>
      <c r="I9" s="12" t="str">
        <f aca="false">IF(A9="","",IF(OR(C9="",D9="",E9="",H9="",COUNTIF(C9:H9,"Prüfung offen")&gt;0,AND(E9&lt;&gt;"keiner",OR(F9="",AND(F9&lt;&gt;"Ja",G9="")))),"noch offen",IF(C9="Ja","VERBOTEN (Art. 5)",IF(AND(D9="Ja",E9&lt;&gt;"keiner"),"Hochrisiko Anhang I und Anhang III",IF(D9="Ja","Hochrisiko Anhang I",IF(E9&lt;&gt;"keiner",IF(F9="Ja","Hochrisiko Anhang III",IF(G9="Ja","Kein Hochrisiko (Art. 6 Abs. 3)","Hochrisiko Anhang III")),IF(H9&lt;&gt;"keiner","Transparenzpflicht (Art. 50)","Geringes Risiko")))))))</f>
        <v/>
      </c>
      <c r="J9" s="12" t="str">
        <f aca="false">IF(I9="","",IF(I9="VERBOTEN (Art. 5)","02.02.2025 (NCII/CSAM: 02.12.2026)",IF(I9="Hochrisiko Anhang I und Anhang III","02.12.2027 (Anhang III) / 02.08.2028 (Anhang I Abschn. A)",IF(I9="Hochrisiko Anhang I","02.08.2028 — nur Anhang I Abschnitt A; bei Abschnitt B (u. a. Maschinen) gilt Kapitel III nicht (Art. 2 Abs. 2 n. F.)",IF(I9="Hochrisiko Anhang III","02.12.2027",IF(I9="Transparenzpflicht (Art. 50)","02.08.2026",IF(I9="Kein Hochrisiko (Art. 6 Abs. 3)","Registrierung: 02.12.2027","—")))))))</f>
        <v/>
      </c>
      <c r="K9" s="12" t="str">
        <f aca="false">IF(I9="","",IF(I9="Kein Hochrisiko (Art. 6 Abs. 3)","Ja — Art. 49 Abs. 2 (Anbieter); Bewertung VOR Inverkehrbringen dokumentieren (Art. 6 Abs. 4)",IF(I9="Hochrisiko Anhang I","Nein — Art. 49 Abs. 1 gilt nur für Anhang III",IF(AND(LEFT(E9,1)="2",OR(I9="Hochrisiko Anhang III",I9="Hochrisiko Anhang I und Anhang III")),"Nein — Registrierung auf nationaler Ebene (Art. 49 Abs. 5)",IF(OR(I9="Hochrisiko Anhang III",I9="Hochrisiko Anhang I und Anhang III"),"Ja — Art. 49 Abs. 1 (Anbieter); Behörden als Betreiber: Art. 49 Abs. 3","Nein")))))</f>
        <v/>
      </c>
      <c r="L9" s="12" t="str">
        <f aca="false">IF(A9="","",IF(I9="VERBOTEN (Art. 5)","entfällt — Einsatz unzulässig",IF(AND(H9&lt;&gt;"",H9&lt;&gt;"keiner"),"Ja — Art. 50 gilt zusätzlich ab 02.08.2026","Nein")))</f>
        <v/>
      </c>
      <c r="M9" s="11"/>
      <c r="N9" s="13"/>
    </row>
    <row r="10" customFormat="false" ht="25.5" hidden="false" customHeight="true" outlineLevel="0" collapsed="false">
      <c r="A10" s="7"/>
      <c r="B10" s="12" t="n">
        <f aca="false">IFERROR(INDEX('01_KI-Inventar'!$B$6:$B$65,MATCH(A10,'01_KI-Inventar'!$A$6:$A$65,0)),"")</f>
        <v>0</v>
      </c>
      <c r="C10" s="7"/>
      <c r="D10" s="7"/>
      <c r="E10" s="7"/>
      <c r="F10" s="7"/>
      <c r="G10" s="7"/>
      <c r="H10" s="7"/>
      <c r="I10" s="12" t="str">
        <f aca="false">IF(A10="","",IF(OR(C10="",D10="",E10="",H10="",COUNTIF(C10:H10,"Prüfung offen")&gt;0,AND(E10&lt;&gt;"keiner",OR(F10="",AND(F10&lt;&gt;"Ja",G10="")))),"noch offen",IF(C10="Ja","VERBOTEN (Art. 5)",IF(AND(D10="Ja",E10&lt;&gt;"keiner"),"Hochrisiko Anhang I und Anhang III",IF(D10="Ja","Hochrisiko Anhang I",IF(E10&lt;&gt;"keiner",IF(F10="Ja","Hochrisiko Anhang III",IF(G10="Ja","Kein Hochrisiko (Art. 6 Abs. 3)","Hochrisiko Anhang III")),IF(H10&lt;&gt;"keiner","Transparenzpflicht (Art. 50)","Geringes Risiko")))))))</f>
        <v/>
      </c>
      <c r="J10" s="12" t="str">
        <f aca="false">IF(I10="","",IF(I10="VERBOTEN (Art. 5)","02.02.2025 (NCII/CSAM: 02.12.2026)",IF(I10="Hochrisiko Anhang I und Anhang III","02.12.2027 (Anhang III) / 02.08.2028 (Anhang I Abschn. A)",IF(I10="Hochrisiko Anhang I","02.08.2028 — nur Anhang I Abschnitt A; bei Abschnitt B (u. a. Maschinen) gilt Kapitel III nicht (Art. 2 Abs. 2 n. F.)",IF(I10="Hochrisiko Anhang III","02.12.2027",IF(I10="Transparenzpflicht (Art. 50)","02.08.2026",IF(I10="Kein Hochrisiko (Art. 6 Abs. 3)","Registrierung: 02.12.2027","—")))))))</f>
        <v/>
      </c>
      <c r="K10" s="12" t="str">
        <f aca="false">IF(I10="","",IF(I10="Kein Hochrisiko (Art. 6 Abs. 3)","Ja — Art. 49 Abs. 2 (Anbieter); Bewertung VOR Inverkehrbringen dokumentieren (Art. 6 Abs. 4)",IF(I10="Hochrisiko Anhang I","Nein — Art. 49 Abs. 1 gilt nur für Anhang III",IF(AND(LEFT(E10,1)="2",OR(I10="Hochrisiko Anhang III",I10="Hochrisiko Anhang I und Anhang III")),"Nein — Registrierung auf nationaler Ebene (Art. 49 Abs. 5)",IF(OR(I10="Hochrisiko Anhang III",I10="Hochrisiko Anhang I und Anhang III"),"Ja — Art. 49 Abs. 1 (Anbieter); Behörden als Betreiber: Art. 49 Abs. 3","Nein")))))</f>
        <v/>
      </c>
      <c r="L10" s="12" t="str">
        <f aca="false">IF(A10="","",IF(I10="VERBOTEN (Art. 5)","entfällt — Einsatz unzulässig",IF(AND(H10&lt;&gt;"",H10&lt;&gt;"keiner"),"Ja — Art. 50 gilt zusätzlich ab 02.08.2026","Nein")))</f>
        <v/>
      </c>
      <c r="M10" s="11"/>
      <c r="N10" s="13"/>
    </row>
    <row r="11" customFormat="false" ht="25.5" hidden="false" customHeight="true" outlineLevel="0" collapsed="false">
      <c r="A11" s="7"/>
      <c r="B11" s="12" t="n">
        <f aca="false">IFERROR(INDEX('01_KI-Inventar'!$B$6:$B$65,MATCH(A11,'01_KI-Inventar'!$A$6:$A$65,0)),"")</f>
        <v>0</v>
      </c>
      <c r="C11" s="7"/>
      <c r="D11" s="7"/>
      <c r="E11" s="7"/>
      <c r="F11" s="7"/>
      <c r="G11" s="7"/>
      <c r="H11" s="7"/>
      <c r="I11" s="12" t="str">
        <f aca="false">IF(A11="","",IF(OR(C11="",D11="",E11="",H11="",COUNTIF(C11:H11,"Prüfung offen")&gt;0,AND(E11&lt;&gt;"keiner",OR(F11="",AND(F11&lt;&gt;"Ja",G11="")))),"noch offen",IF(C11="Ja","VERBOTEN (Art. 5)",IF(AND(D11="Ja",E11&lt;&gt;"keiner"),"Hochrisiko Anhang I und Anhang III",IF(D11="Ja","Hochrisiko Anhang I",IF(E11&lt;&gt;"keiner",IF(F11="Ja","Hochrisiko Anhang III",IF(G11="Ja","Kein Hochrisiko (Art. 6 Abs. 3)","Hochrisiko Anhang III")),IF(H11&lt;&gt;"keiner","Transparenzpflicht (Art. 50)","Geringes Risiko")))))))</f>
        <v/>
      </c>
      <c r="J11" s="12" t="str">
        <f aca="false">IF(I11="","",IF(I11="VERBOTEN (Art. 5)","02.02.2025 (NCII/CSAM: 02.12.2026)",IF(I11="Hochrisiko Anhang I und Anhang III","02.12.2027 (Anhang III) / 02.08.2028 (Anhang I Abschn. A)",IF(I11="Hochrisiko Anhang I","02.08.2028 — nur Anhang I Abschnitt A; bei Abschnitt B (u. a. Maschinen) gilt Kapitel III nicht (Art. 2 Abs. 2 n. F.)",IF(I11="Hochrisiko Anhang III","02.12.2027",IF(I11="Transparenzpflicht (Art. 50)","02.08.2026",IF(I11="Kein Hochrisiko (Art. 6 Abs. 3)","Registrierung: 02.12.2027","—")))))))</f>
        <v/>
      </c>
      <c r="K11" s="12" t="str">
        <f aca="false">IF(I11="","",IF(I11="Kein Hochrisiko (Art. 6 Abs. 3)","Ja — Art. 49 Abs. 2 (Anbieter); Bewertung VOR Inverkehrbringen dokumentieren (Art. 6 Abs. 4)",IF(I11="Hochrisiko Anhang I","Nein — Art. 49 Abs. 1 gilt nur für Anhang III",IF(AND(LEFT(E11,1)="2",OR(I11="Hochrisiko Anhang III",I11="Hochrisiko Anhang I und Anhang III")),"Nein — Registrierung auf nationaler Ebene (Art. 49 Abs. 5)",IF(OR(I11="Hochrisiko Anhang III",I11="Hochrisiko Anhang I und Anhang III"),"Ja — Art. 49 Abs. 1 (Anbieter); Behörden als Betreiber: Art. 49 Abs. 3","Nein")))))</f>
        <v/>
      </c>
      <c r="L11" s="12" t="str">
        <f aca="false">IF(A11="","",IF(I11="VERBOTEN (Art. 5)","entfällt — Einsatz unzulässig",IF(AND(H11&lt;&gt;"",H11&lt;&gt;"keiner"),"Ja — Art. 50 gilt zusätzlich ab 02.08.2026","Nein")))</f>
        <v/>
      </c>
      <c r="M11" s="11"/>
      <c r="N11" s="13"/>
    </row>
    <row r="12" customFormat="false" ht="25.5" hidden="false" customHeight="true" outlineLevel="0" collapsed="false">
      <c r="A12" s="7"/>
      <c r="B12" s="12" t="n">
        <f aca="false">IFERROR(INDEX('01_KI-Inventar'!$B$6:$B$65,MATCH(A12,'01_KI-Inventar'!$A$6:$A$65,0)),"")</f>
        <v>0</v>
      </c>
      <c r="C12" s="7"/>
      <c r="D12" s="7"/>
      <c r="E12" s="7"/>
      <c r="F12" s="7"/>
      <c r="G12" s="7"/>
      <c r="H12" s="7"/>
      <c r="I12" s="12" t="str">
        <f aca="false">IF(A12="","",IF(OR(C12="",D12="",E12="",H12="",COUNTIF(C12:H12,"Prüfung offen")&gt;0,AND(E12&lt;&gt;"keiner",OR(F12="",AND(F12&lt;&gt;"Ja",G12="")))),"noch offen",IF(C12="Ja","VERBOTEN (Art. 5)",IF(AND(D12="Ja",E12&lt;&gt;"keiner"),"Hochrisiko Anhang I und Anhang III",IF(D12="Ja","Hochrisiko Anhang I",IF(E12&lt;&gt;"keiner",IF(F12="Ja","Hochrisiko Anhang III",IF(G12="Ja","Kein Hochrisiko (Art. 6 Abs. 3)","Hochrisiko Anhang III")),IF(H12&lt;&gt;"keiner","Transparenzpflicht (Art. 50)","Geringes Risiko")))))))</f>
        <v/>
      </c>
      <c r="J12" s="12" t="str">
        <f aca="false">IF(I12="","",IF(I12="VERBOTEN (Art. 5)","02.02.2025 (NCII/CSAM: 02.12.2026)",IF(I12="Hochrisiko Anhang I und Anhang III","02.12.2027 (Anhang III) / 02.08.2028 (Anhang I Abschn. A)",IF(I12="Hochrisiko Anhang I","02.08.2028 — nur Anhang I Abschnitt A; bei Abschnitt B (u. a. Maschinen) gilt Kapitel III nicht (Art. 2 Abs. 2 n. F.)",IF(I12="Hochrisiko Anhang III","02.12.2027",IF(I12="Transparenzpflicht (Art. 50)","02.08.2026",IF(I12="Kein Hochrisiko (Art. 6 Abs. 3)","Registrierung: 02.12.2027","—")))))))</f>
        <v/>
      </c>
      <c r="K12" s="12" t="str">
        <f aca="false">IF(I12="","",IF(I12="Kein Hochrisiko (Art. 6 Abs. 3)","Ja — Art. 49 Abs. 2 (Anbieter); Bewertung VOR Inverkehrbringen dokumentieren (Art. 6 Abs. 4)",IF(I12="Hochrisiko Anhang I","Nein — Art. 49 Abs. 1 gilt nur für Anhang III",IF(AND(LEFT(E12,1)="2",OR(I12="Hochrisiko Anhang III",I12="Hochrisiko Anhang I und Anhang III")),"Nein — Registrierung auf nationaler Ebene (Art. 49 Abs. 5)",IF(OR(I12="Hochrisiko Anhang III",I12="Hochrisiko Anhang I und Anhang III"),"Ja — Art. 49 Abs. 1 (Anbieter); Behörden als Betreiber: Art. 49 Abs. 3","Nein")))))</f>
        <v/>
      </c>
      <c r="L12" s="12" t="str">
        <f aca="false">IF(A12="","",IF(I12="VERBOTEN (Art. 5)","entfällt — Einsatz unzulässig",IF(AND(H12&lt;&gt;"",H12&lt;&gt;"keiner"),"Ja — Art. 50 gilt zusätzlich ab 02.08.2026","Nein")))</f>
        <v/>
      </c>
      <c r="M12" s="11"/>
      <c r="N12" s="13"/>
    </row>
    <row r="13" customFormat="false" ht="25.5" hidden="false" customHeight="true" outlineLevel="0" collapsed="false">
      <c r="A13" s="7"/>
      <c r="B13" s="12" t="n">
        <f aca="false">IFERROR(INDEX('01_KI-Inventar'!$B$6:$B$65,MATCH(A13,'01_KI-Inventar'!$A$6:$A$65,0)),"")</f>
        <v>0</v>
      </c>
      <c r="C13" s="7"/>
      <c r="D13" s="7"/>
      <c r="E13" s="7"/>
      <c r="F13" s="7"/>
      <c r="G13" s="7"/>
      <c r="H13" s="7"/>
      <c r="I13" s="12" t="str">
        <f aca="false">IF(A13="","",IF(OR(C13="",D13="",E13="",H13="",COUNTIF(C13:H13,"Prüfung offen")&gt;0,AND(E13&lt;&gt;"keiner",OR(F13="",AND(F13&lt;&gt;"Ja",G13="")))),"noch offen",IF(C13="Ja","VERBOTEN (Art. 5)",IF(AND(D13="Ja",E13&lt;&gt;"keiner"),"Hochrisiko Anhang I und Anhang III",IF(D13="Ja","Hochrisiko Anhang I",IF(E13&lt;&gt;"keiner",IF(F13="Ja","Hochrisiko Anhang III",IF(G13="Ja","Kein Hochrisiko (Art. 6 Abs. 3)","Hochrisiko Anhang III")),IF(H13&lt;&gt;"keiner","Transparenzpflicht (Art. 50)","Geringes Risiko")))))))</f>
        <v/>
      </c>
      <c r="J13" s="12" t="str">
        <f aca="false">IF(I13="","",IF(I13="VERBOTEN (Art. 5)","02.02.2025 (NCII/CSAM: 02.12.2026)",IF(I13="Hochrisiko Anhang I und Anhang III","02.12.2027 (Anhang III) / 02.08.2028 (Anhang I Abschn. A)",IF(I13="Hochrisiko Anhang I","02.08.2028 — nur Anhang I Abschnitt A; bei Abschnitt B (u. a. Maschinen) gilt Kapitel III nicht (Art. 2 Abs. 2 n. F.)",IF(I13="Hochrisiko Anhang III","02.12.2027",IF(I13="Transparenzpflicht (Art. 50)","02.08.2026",IF(I13="Kein Hochrisiko (Art. 6 Abs. 3)","Registrierung: 02.12.2027","—")))))))</f>
        <v/>
      </c>
      <c r="K13" s="12" t="str">
        <f aca="false">IF(I13="","",IF(I13="Kein Hochrisiko (Art. 6 Abs. 3)","Ja — Art. 49 Abs. 2 (Anbieter); Bewertung VOR Inverkehrbringen dokumentieren (Art. 6 Abs. 4)",IF(I13="Hochrisiko Anhang I","Nein — Art. 49 Abs. 1 gilt nur für Anhang III",IF(AND(LEFT(E13,1)="2",OR(I13="Hochrisiko Anhang III",I13="Hochrisiko Anhang I und Anhang III")),"Nein — Registrierung auf nationaler Ebene (Art. 49 Abs. 5)",IF(OR(I13="Hochrisiko Anhang III",I13="Hochrisiko Anhang I und Anhang III"),"Ja — Art. 49 Abs. 1 (Anbieter); Behörden als Betreiber: Art. 49 Abs. 3","Nein")))))</f>
        <v/>
      </c>
      <c r="L13" s="12" t="str">
        <f aca="false">IF(A13="","",IF(I13="VERBOTEN (Art. 5)","entfällt — Einsatz unzulässig",IF(AND(H13&lt;&gt;"",H13&lt;&gt;"keiner"),"Ja — Art. 50 gilt zusätzlich ab 02.08.2026","Nein")))</f>
        <v/>
      </c>
      <c r="M13" s="11"/>
      <c r="N13" s="13"/>
    </row>
    <row r="14" customFormat="false" ht="25.5" hidden="false" customHeight="true" outlineLevel="0" collapsed="false">
      <c r="A14" s="7"/>
      <c r="B14" s="12" t="n">
        <f aca="false">IFERROR(INDEX('01_KI-Inventar'!$B$6:$B$65,MATCH(A14,'01_KI-Inventar'!$A$6:$A$65,0)),"")</f>
        <v>0</v>
      </c>
      <c r="C14" s="7"/>
      <c r="D14" s="7"/>
      <c r="E14" s="7"/>
      <c r="F14" s="7"/>
      <c r="G14" s="7"/>
      <c r="H14" s="7"/>
      <c r="I14" s="12" t="str">
        <f aca="false">IF(A14="","",IF(OR(C14="",D14="",E14="",H14="",COUNTIF(C14:H14,"Prüfung offen")&gt;0,AND(E14&lt;&gt;"keiner",OR(F14="",AND(F14&lt;&gt;"Ja",G14="")))),"noch offen",IF(C14="Ja","VERBOTEN (Art. 5)",IF(AND(D14="Ja",E14&lt;&gt;"keiner"),"Hochrisiko Anhang I und Anhang III",IF(D14="Ja","Hochrisiko Anhang I",IF(E14&lt;&gt;"keiner",IF(F14="Ja","Hochrisiko Anhang III",IF(G14="Ja","Kein Hochrisiko (Art. 6 Abs. 3)","Hochrisiko Anhang III")),IF(H14&lt;&gt;"keiner","Transparenzpflicht (Art. 50)","Geringes Risiko")))))))</f>
        <v/>
      </c>
      <c r="J14" s="12" t="str">
        <f aca="false">IF(I14="","",IF(I14="VERBOTEN (Art. 5)","02.02.2025 (NCII/CSAM: 02.12.2026)",IF(I14="Hochrisiko Anhang I und Anhang III","02.12.2027 (Anhang III) / 02.08.2028 (Anhang I Abschn. A)",IF(I14="Hochrisiko Anhang I","02.08.2028 — nur Anhang I Abschnitt A; bei Abschnitt B (u. a. Maschinen) gilt Kapitel III nicht (Art. 2 Abs. 2 n. F.)",IF(I14="Hochrisiko Anhang III","02.12.2027",IF(I14="Transparenzpflicht (Art. 50)","02.08.2026",IF(I14="Kein Hochrisiko (Art. 6 Abs. 3)","Registrierung: 02.12.2027","—")))))))</f>
        <v/>
      </c>
      <c r="K14" s="12" t="str">
        <f aca="false">IF(I14="","",IF(I14="Kein Hochrisiko (Art. 6 Abs. 3)","Ja — Art. 49 Abs. 2 (Anbieter); Bewertung VOR Inverkehrbringen dokumentieren (Art. 6 Abs. 4)",IF(I14="Hochrisiko Anhang I","Nein — Art. 49 Abs. 1 gilt nur für Anhang III",IF(AND(LEFT(E14,1)="2",OR(I14="Hochrisiko Anhang III",I14="Hochrisiko Anhang I und Anhang III")),"Nein — Registrierung auf nationaler Ebene (Art. 49 Abs. 5)",IF(OR(I14="Hochrisiko Anhang III",I14="Hochrisiko Anhang I und Anhang III"),"Ja — Art. 49 Abs. 1 (Anbieter); Behörden als Betreiber: Art. 49 Abs. 3","Nein")))))</f>
        <v/>
      </c>
      <c r="L14" s="12" t="str">
        <f aca="false">IF(A14="","",IF(I14="VERBOTEN (Art. 5)","entfällt — Einsatz unzulässig",IF(AND(H14&lt;&gt;"",H14&lt;&gt;"keiner"),"Ja — Art. 50 gilt zusätzlich ab 02.08.2026","Nein")))</f>
        <v/>
      </c>
      <c r="M14" s="11"/>
      <c r="N14" s="13"/>
    </row>
    <row r="15" customFormat="false" ht="25.5" hidden="false" customHeight="true" outlineLevel="0" collapsed="false">
      <c r="A15" s="7"/>
      <c r="B15" s="12" t="n">
        <f aca="false">IFERROR(INDEX('01_KI-Inventar'!$B$6:$B$65,MATCH(A15,'01_KI-Inventar'!$A$6:$A$65,0)),"")</f>
        <v>0</v>
      </c>
      <c r="C15" s="7"/>
      <c r="D15" s="7"/>
      <c r="E15" s="7"/>
      <c r="F15" s="7"/>
      <c r="G15" s="7"/>
      <c r="H15" s="7"/>
      <c r="I15" s="12" t="str">
        <f aca="false">IF(A15="","",IF(OR(C15="",D15="",E15="",H15="",COUNTIF(C15:H15,"Prüfung offen")&gt;0,AND(E15&lt;&gt;"keiner",OR(F15="",AND(F15&lt;&gt;"Ja",G15="")))),"noch offen",IF(C15="Ja","VERBOTEN (Art. 5)",IF(AND(D15="Ja",E15&lt;&gt;"keiner"),"Hochrisiko Anhang I und Anhang III",IF(D15="Ja","Hochrisiko Anhang I",IF(E15&lt;&gt;"keiner",IF(F15="Ja","Hochrisiko Anhang III",IF(G15="Ja","Kein Hochrisiko (Art. 6 Abs. 3)","Hochrisiko Anhang III")),IF(H15&lt;&gt;"keiner","Transparenzpflicht (Art. 50)","Geringes Risiko")))))))</f>
        <v/>
      </c>
      <c r="J15" s="12" t="str">
        <f aca="false">IF(I15="","",IF(I15="VERBOTEN (Art. 5)","02.02.2025 (NCII/CSAM: 02.12.2026)",IF(I15="Hochrisiko Anhang I und Anhang III","02.12.2027 (Anhang III) / 02.08.2028 (Anhang I Abschn. A)",IF(I15="Hochrisiko Anhang I","02.08.2028 — nur Anhang I Abschnitt A; bei Abschnitt B (u. a. Maschinen) gilt Kapitel III nicht (Art. 2 Abs. 2 n. F.)",IF(I15="Hochrisiko Anhang III","02.12.2027",IF(I15="Transparenzpflicht (Art. 50)","02.08.2026",IF(I15="Kein Hochrisiko (Art. 6 Abs. 3)","Registrierung: 02.12.2027","—")))))))</f>
        <v/>
      </c>
      <c r="K15" s="12" t="str">
        <f aca="false">IF(I15="","",IF(I15="Kein Hochrisiko (Art. 6 Abs. 3)","Ja — Art. 49 Abs. 2 (Anbieter); Bewertung VOR Inverkehrbringen dokumentieren (Art. 6 Abs. 4)",IF(I15="Hochrisiko Anhang I","Nein — Art. 49 Abs. 1 gilt nur für Anhang III",IF(AND(LEFT(E15,1)="2",OR(I15="Hochrisiko Anhang III",I15="Hochrisiko Anhang I und Anhang III")),"Nein — Registrierung auf nationaler Ebene (Art. 49 Abs. 5)",IF(OR(I15="Hochrisiko Anhang III",I15="Hochrisiko Anhang I und Anhang III"),"Ja — Art. 49 Abs. 1 (Anbieter); Behörden als Betreiber: Art. 49 Abs. 3","Nein")))))</f>
        <v/>
      </c>
      <c r="L15" s="12" t="str">
        <f aca="false">IF(A15="","",IF(I15="VERBOTEN (Art. 5)","entfällt — Einsatz unzulässig",IF(AND(H15&lt;&gt;"",H15&lt;&gt;"keiner"),"Ja — Art. 50 gilt zusätzlich ab 02.08.2026","Nein")))</f>
        <v/>
      </c>
      <c r="M15" s="11"/>
      <c r="N15" s="13"/>
    </row>
    <row r="16" customFormat="false" ht="25.5" hidden="false" customHeight="true" outlineLevel="0" collapsed="false">
      <c r="A16" s="7"/>
      <c r="B16" s="12" t="n">
        <f aca="false">IFERROR(INDEX('01_KI-Inventar'!$B$6:$B$65,MATCH(A16,'01_KI-Inventar'!$A$6:$A$65,0)),"")</f>
        <v>0</v>
      </c>
      <c r="C16" s="7"/>
      <c r="D16" s="7"/>
      <c r="E16" s="7"/>
      <c r="F16" s="7"/>
      <c r="G16" s="7"/>
      <c r="H16" s="7"/>
      <c r="I16" s="12" t="str">
        <f aca="false">IF(A16="","",IF(OR(C16="",D16="",E16="",H16="",COUNTIF(C16:H16,"Prüfung offen")&gt;0,AND(E16&lt;&gt;"keiner",OR(F16="",AND(F16&lt;&gt;"Ja",G16="")))),"noch offen",IF(C16="Ja","VERBOTEN (Art. 5)",IF(AND(D16="Ja",E16&lt;&gt;"keiner"),"Hochrisiko Anhang I und Anhang III",IF(D16="Ja","Hochrisiko Anhang I",IF(E16&lt;&gt;"keiner",IF(F16="Ja","Hochrisiko Anhang III",IF(G16="Ja","Kein Hochrisiko (Art. 6 Abs. 3)","Hochrisiko Anhang III")),IF(H16&lt;&gt;"keiner","Transparenzpflicht (Art. 50)","Geringes Risiko")))))))</f>
        <v/>
      </c>
      <c r="J16" s="12" t="str">
        <f aca="false">IF(I16="","",IF(I16="VERBOTEN (Art. 5)","02.02.2025 (NCII/CSAM: 02.12.2026)",IF(I16="Hochrisiko Anhang I und Anhang III","02.12.2027 (Anhang III) / 02.08.2028 (Anhang I Abschn. A)",IF(I16="Hochrisiko Anhang I","02.08.2028 — nur Anhang I Abschnitt A; bei Abschnitt B (u. a. Maschinen) gilt Kapitel III nicht (Art. 2 Abs. 2 n. F.)",IF(I16="Hochrisiko Anhang III","02.12.2027",IF(I16="Transparenzpflicht (Art. 50)","02.08.2026",IF(I16="Kein Hochrisiko (Art. 6 Abs. 3)","Registrierung: 02.12.2027","—")))))))</f>
        <v/>
      </c>
      <c r="K16" s="12" t="str">
        <f aca="false">IF(I16="","",IF(I16="Kein Hochrisiko (Art. 6 Abs. 3)","Ja — Art. 49 Abs. 2 (Anbieter); Bewertung VOR Inverkehrbringen dokumentieren (Art. 6 Abs. 4)",IF(I16="Hochrisiko Anhang I","Nein — Art. 49 Abs. 1 gilt nur für Anhang III",IF(AND(LEFT(E16,1)="2",OR(I16="Hochrisiko Anhang III",I16="Hochrisiko Anhang I und Anhang III")),"Nein — Registrierung auf nationaler Ebene (Art. 49 Abs. 5)",IF(OR(I16="Hochrisiko Anhang III",I16="Hochrisiko Anhang I und Anhang III"),"Ja — Art. 49 Abs. 1 (Anbieter); Behörden als Betreiber: Art. 49 Abs. 3","Nein")))))</f>
        <v/>
      </c>
      <c r="L16" s="12" t="str">
        <f aca="false">IF(A16="","",IF(I16="VERBOTEN (Art. 5)","entfällt — Einsatz unzulässig",IF(AND(H16&lt;&gt;"",H16&lt;&gt;"keiner"),"Ja — Art. 50 gilt zusätzlich ab 02.08.2026","Nein")))</f>
        <v/>
      </c>
      <c r="M16" s="11"/>
      <c r="N16" s="13"/>
    </row>
    <row r="17" customFormat="false" ht="25.5" hidden="false" customHeight="true" outlineLevel="0" collapsed="false">
      <c r="A17" s="7"/>
      <c r="B17" s="12" t="n">
        <f aca="false">IFERROR(INDEX('01_KI-Inventar'!$B$6:$B$65,MATCH(A17,'01_KI-Inventar'!$A$6:$A$65,0)),"")</f>
        <v>0</v>
      </c>
      <c r="C17" s="7"/>
      <c r="D17" s="7"/>
      <c r="E17" s="7"/>
      <c r="F17" s="7"/>
      <c r="G17" s="7"/>
      <c r="H17" s="7"/>
      <c r="I17" s="12" t="str">
        <f aca="false">IF(A17="","",IF(OR(C17="",D17="",E17="",H17="",COUNTIF(C17:H17,"Prüfung offen")&gt;0,AND(E17&lt;&gt;"keiner",OR(F17="",AND(F17&lt;&gt;"Ja",G17="")))),"noch offen",IF(C17="Ja","VERBOTEN (Art. 5)",IF(AND(D17="Ja",E17&lt;&gt;"keiner"),"Hochrisiko Anhang I und Anhang III",IF(D17="Ja","Hochrisiko Anhang I",IF(E17&lt;&gt;"keiner",IF(F17="Ja","Hochrisiko Anhang III",IF(G17="Ja","Kein Hochrisiko (Art. 6 Abs. 3)","Hochrisiko Anhang III")),IF(H17&lt;&gt;"keiner","Transparenzpflicht (Art. 50)","Geringes Risiko")))))))</f>
        <v/>
      </c>
      <c r="J17" s="12" t="str">
        <f aca="false">IF(I17="","",IF(I17="VERBOTEN (Art. 5)","02.02.2025 (NCII/CSAM: 02.12.2026)",IF(I17="Hochrisiko Anhang I und Anhang III","02.12.2027 (Anhang III) / 02.08.2028 (Anhang I Abschn. A)",IF(I17="Hochrisiko Anhang I","02.08.2028 — nur Anhang I Abschnitt A; bei Abschnitt B (u. a. Maschinen) gilt Kapitel III nicht (Art. 2 Abs. 2 n. F.)",IF(I17="Hochrisiko Anhang III","02.12.2027",IF(I17="Transparenzpflicht (Art. 50)","02.08.2026",IF(I17="Kein Hochrisiko (Art. 6 Abs. 3)","Registrierung: 02.12.2027","—")))))))</f>
        <v/>
      </c>
      <c r="K17" s="12" t="str">
        <f aca="false">IF(I17="","",IF(I17="Kein Hochrisiko (Art. 6 Abs. 3)","Ja — Art. 49 Abs. 2 (Anbieter); Bewertung VOR Inverkehrbringen dokumentieren (Art. 6 Abs. 4)",IF(I17="Hochrisiko Anhang I","Nein — Art. 49 Abs. 1 gilt nur für Anhang III",IF(AND(LEFT(E17,1)="2",OR(I17="Hochrisiko Anhang III",I17="Hochrisiko Anhang I und Anhang III")),"Nein — Registrierung auf nationaler Ebene (Art. 49 Abs. 5)",IF(OR(I17="Hochrisiko Anhang III",I17="Hochrisiko Anhang I und Anhang III"),"Ja — Art. 49 Abs. 1 (Anbieter); Behörden als Betreiber: Art. 49 Abs. 3","Nein")))))</f>
        <v/>
      </c>
      <c r="L17" s="12" t="str">
        <f aca="false">IF(A17="","",IF(I17="VERBOTEN (Art. 5)","entfällt — Einsatz unzulässig",IF(AND(H17&lt;&gt;"",H17&lt;&gt;"keiner"),"Ja — Art. 50 gilt zusätzlich ab 02.08.2026","Nein")))</f>
        <v/>
      </c>
      <c r="M17" s="11"/>
      <c r="N17" s="13"/>
    </row>
    <row r="18" customFormat="false" ht="25.5" hidden="false" customHeight="true" outlineLevel="0" collapsed="false">
      <c r="A18" s="7"/>
      <c r="B18" s="12" t="n">
        <f aca="false">IFERROR(INDEX('01_KI-Inventar'!$B$6:$B$65,MATCH(A18,'01_KI-Inventar'!$A$6:$A$65,0)),"")</f>
        <v>0</v>
      </c>
      <c r="C18" s="7"/>
      <c r="D18" s="7"/>
      <c r="E18" s="7"/>
      <c r="F18" s="7"/>
      <c r="G18" s="7"/>
      <c r="H18" s="7"/>
      <c r="I18" s="12" t="str">
        <f aca="false">IF(A18="","",IF(OR(C18="",D18="",E18="",H18="",COUNTIF(C18:H18,"Prüfung offen")&gt;0,AND(E18&lt;&gt;"keiner",OR(F18="",AND(F18&lt;&gt;"Ja",G18="")))),"noch offen",IF(C18="Ja","VERBOTEN (Art. 5)",IF(AND(D18="Ja",E18&lt;&gt;"keiner"),"Hochrisiko Anhang I und Anhang III",IF(D18="Ja","Hochrisiko Anhang I",IF(E18&lt;&gt;"keiner",IF(F18="Ja","Hochrisiko Anhang III",IF(G18="Ja","Kein Hochrisiko (Art. 6 Abs. 3)","Hochrisiko Anhang III")),IF(H18&lt;&gt;"keiner","Transparenzpflicht (Art. 50)","Geringes Risiko")))))))</f>
        <v/>
      </c>
      <c r="J18" s="12" t="str">
        <f aca="false">IF(I18="","",IF(I18="VERBOTEN (Art. 5)","02.02.2025 (NCII/CSAM: 02.12.2026)",IF(I18="Hochrisiko Anhang I und Anhang III","02.12.2027 (Anhang III) / 02.08.2028 (Anhang I Abschn. A)",IF(I18="Hochrisiko Anhang I","02.08.2028 — nur Anhang I Abschnitt A; bei Abschnitt B (u. a. Maschinen) gilt Kapitel III nicht (Art. 2 Abs. 2 n. F.)",IF(I18="Hochrisiko Anhang III","02.12.2027",IF(I18="Transparenzpflicht (Art. 50)","02.08.2026",IF(I18="Kein Hochrisiko (Art. 6 Abs. 3)","Registrierung: 02.12.2027","—")))))))</f>
        <v/>
      </c>
      <c r="K18" s="12" t="str">
        <f aca="false">IF(I18="","",IF(I18="Kein Hochrisiko (Art. 6 Abs. 3)","Ja — Art. 49 Abs. 2 (Anbieter); Bewertung VOR Inverkehrbringen dokumentieren (Art. 6 Abs. 4)",IF(I18="Hochrisiko Anhang I","Nein — Art. 49 Abs. 1 gilt nur für Anhang III",IF(AND(LEFT(E18,1)="2",OR(I18="Hochrisiko Anhang III",I18="Hochrisiko Anhang I und Anhang III")),"Nein — Registrierung auf nationaler Ebene (Art. 49 Abs. 5)",IF(OR(I18="Hochrisiko Anhang III",I18="Hochrisiko Anhang I und Anhang III"),"Ja — Art. 49 Abs. 1 (Anbieter); Behörden als Betreiber: Art. 49 Abs. 3","Nein")))))</f>
        <v/>
      </c>
      <c r="L18" s="12" t="str">
        <f aca="false">IF(A18="","",IF(I18="VERBOTEN (Art. 5)","entfällt — Einsatz unzulässig",IF(AND(H18&lt;&gt;"",H18&lt;&gt;"keiner"),"Ja — Art. 50 gilt zusätzlich ab 02.08.2026","Nein")))</f>
        <v/>
      </c>
      <c r="M18" s="11"/>
      <c r="N18" s="13"/>
    </row>
    <row r="19" customFormat="false" ht="25.5" hidden="false" customHeight="true" outlineLevel="0" collapsed="false">
      <c r="A19" s="7"/>
      <c r="B19" s="12" t="n">
        <f aca="false">IFERROR(INDEX('01_KI-Inventar'!$B$6:$B$65,MATCH(A19,'01_KI-Inventar'!$A$6:$A$65,0)),"")</f>
        <v>0</v>
      </c>
      <c r="C19" s="7"/>
      <c r="D19" s="7"/>
      <c r="E19" s="7"/>
      <c r="F19" s="7"/>
      <c r="G19" s="7"/>
      <c r="H19" s="7"/>
      <c r="I19" s="12" t="str">
        <f aca="false">IF(A19="","",IF(OR(C19="",D19="",E19="",H19="",COUNTIF(C19:H19,"Prüfung offen")&gt;0,AND(E19&lt;&gt;"keiner",OR(F19="",AND(F19&lt;&gt;"Ja",G19="")))),"noch offen",IF(C19="Ja","VERBOTEN (Art. 5)",IF(AND(D19="Ja",E19&lt;&gt;"keiner"),"Hochrisiko Anhang I und Anhang III",IF(D19="Ja","Hochrisiko Anhang I",IF(E19&lt;&gt;"keiner",IF(F19="Ja","Hochrisiko Anhang III",IF(G19="Ja","Kein Hochrisiko (Art. 6 Abs. 3)","Hochrisiko Anhang III")),IF(H19&lt;&gt;"keiner","Transparenzpflicht (Art. 50)","Geringes Risiko")))))))</f>
        <v/>
      </c>
      <c r="J19" s="12" t="str">
        <f aca="false">IF(I19="","",IF(I19="VERBOTEN (Art. 5)","02.02.2025 (NCII/CSAM: 02.12.2026)",IF(I19="Hochrisiko Anhang I und Anhang III","02.12.2027 (Anhang III) / 02.08.2028 (Anhang I Abschn. A)",IF(I19="Hochrisiko Anhang I","02.08.2028 — nur Anhang I Abschnitt A; bei Abschnitt B (u. a. Maschinen) gilt Kapitel III nicht (Art. 2 Abs. 2 n. F.)",IF(I19="Hochrisiko Anhang III","02.12.2027",IF(I19="Transparenzpflicht (Art. 50)","02.08.2026",IF(I19="Kein Hochrisiko (Art. 6 Abs. 3)","Registrierung: 02.12.2027","—")))))))</f>
        <v/>
      </c>
      <c r="K19" s="12" t="str">
        <f aca="false">IF(I19="","",IF(I19="Kein Hochrisiko (Art. 6 Abs. 3)","Ja — Art. 49 Abs. 2 (Anbieter); Bewertung VOR Inverkehrbringen dokumentieren (Art. 6 Abs. 4)",IF(I19="Hochrisiko Anhang I","Nein — Art. 49 Abs. 1 gilt nur für Anhang III",IF(AND(LEFT(E19,1)="2",OR(I19="Hochrisiko Anhang III",I19="Hochrisiko Anhang I und Anhang III")),"Nein — Registrierung auf nationaler Ebene (Art. 49 Abs. 5)",IF(OR(I19="Hochrisiko Anhang III",I19="Hochrisiko Anhang I und Anhang III"),"Ja — Art. 49 Abs. 1 (Anbieter); Behörden als Betreiber: Art. 49 Abs. 3","Nein")))))</f>
        <v/>
      </c>
      <c r="L19" s="12" t="str">
        <f aca="false">IF(A19="","",IF(I19="VERBOTEN (Art. 5)","entfällt — Einsatz unzulässig",IF(AND(H19&lt;&gt;"",H19&lt;&gt;"keiner"),"Ja — Art. 50 gilt zusätzlich ab 02.08.2026","Nein")))</f>
        <v/>
      </c>
      <c r="M19" s="11"/>
      <c r="N19" s="13"/>
    </row>
    <row r="20" customFormat="false" ht="25.5" hidden="false" customHeight="true" outlineLevel="0" collapsed="false">
      <c r="A20" s="7"/>
      <c r="B20" s="12" t="n">
        <f aca="false">IFERROR(INDEX('01_KI-Inventar'!$B$6:$B$65,MATCH(A20,'01_KI-Inventar'!$A$6:$A$65,0)),"")</f>
        <v>0</v>
      </c>
      <c r="C20" s="7"/>
      <c r="D20" s="7"/>
      <c r="E20" s="7"/>
      <c r="F20" s="7"/>
      <c r="G20" s="7"/>
      <c r="H20" s="7"/>
      <c r="I20" s="12" t="str">
        <f aca="false">IF(A20="","",IF(OR(C20="",D20="",E20="",H20="",COUNTIF(C20:H20,"Prüfung offen")&gt;0,AND(E20&lt;&gt;"keiner",OR(F20="",AND(F20&lt;&gt;"Ja",G20="")))),"noch offen",IF(C20="Ja","VERBOTEN (Art. 5)",IF(AND(D20="Ja",E20&lt;&gt;"keiner"),"Hochrisiko Anhang I und Anhang III",IF(D20="Ja","Hochrisiko Anhang I",IF(E20&lt;&gt;"keiner",IF(F20="Ja","Hochrisiko Anhang III",IF(G20="Ja","Kein Hochrisiko (Art. 6 Abs. 3)","Hochrisiko Anhang III")),IF(H20&lt;&gt;"keiner","Transparenzpflicht (Art. 50)","Geringes Risiko")))))))</f>
        <v/>
      </c>
      <c r="J20" s="12" t="str">
        <f aca="false">IF(I20="","",IF(I20="VERBOTEN (Art. 5)","02.02.2025 (NCII/CSAM: 02.12.2026)",IF(I20="Hochrisiko Anhang I und Anhang III","02.12.2027 (Anhang III) / 02.08.2028 (Anhang I Abschn. A)",IF(I20="Hochrisiko Anhang I","02.08.2028 — nur Anhang I Abschnitt A; bei Abschnitt B (u. a. Maschinen) gilt Kapitel III nicht (Art. 2 Abs. 2 n. F.)",IF(I20="Hochrisiko Anhang III","02.12.2027",IF(I20="Transparenzpflicht (Art. 50)","02.08.2026",IF(I20="Kein Hochrisiko (Art. 6 Abs. 3)","Registrierung: 02.12.2027","—")))))))</f>
        <v/>
      </c>
      <c r="K20" s="12" t="str">
        <f aca="false">IF(I20="","",IF(I20="Kein Hochrisiko (Art. 6 Abs. 3)","Ja — Art. 49 Abs. 2 (Anbieter); Bewertung VOR Inverkehrbringen dokumentieren (Art. 6 Abs. 4)",IF(I20="Hochrisiko Anhang I","Nein — Art. 49 Abs. 1 gilt nur für Anhang III",IF(AND(LEFT(E20,1)="2",OR(I20="Hochrisiko Anhang III",I20="Hochrisiko Anhang I und Anhang III")),"Nein — Registrierung auf nationaler Ebene (Art. 49 Abs. 5)",IF(OR(I20="Hochrisiko Anhang III",I20="Hochrisiko Anhang I und Anhang III"),"Ja — Art. 49 Abs. 1 (Anbieter); Behörden als Betreiber: Art. 49 Abs. 3","Nein")))))</f>
        <v/>
      </c>
      <c r="L20" s="12" t="str">
        <f aca="false">IF(A20="","",IF(I20="VERBOTEN (Art. 5)","entfällt — Einsatz unzulässig",IF(AND(H20&lt;&gt;"",H20&lt;&gt;"keiner"),"Ja — Art. 50 gilt zusätzlich ab 02.08.2026","Nein")))</f>
        <v/>
      </c>
      <c r="M20" s="11"/>
      <c r="N20" s="13"/>
    </row>
    <row r="21" customFormat="false" ht="25.5" hidden="false" customHeight="true" outlineLevel="0" collapsed="false">
      <c r="A21" s="7"/>
      <c r="B21" s="12" t="n">
        <f aca="false">IFERROR(INDEX('01_KI-Inventar'!$B$6:$B$65,MATCH(A21,'01_KI-Inventar'!$A$6:$A$65,0)),"")</f>
        <v>0</v>
      </c>
      <c r="C21" s="7"/>
      <c r="D21" s="7"/>
      <c r="E21" s="7"/>
      <c r="F21" s="7"/>
      <c r="G21" s="7"/>
      <c r="H21" s="7"/>
      <c r="I21" s="12" t="str">
        <f aca="false">IF(A21="","",IF(OR(C21="",D21="",E21="",H21="",COUNTIF(C21:H21,"Prüfung offen")&gt;0,AND(E21&lt;&gt;"keiner",OR(F21="",AND(F21&lt;&gt;"Ja",G21="")))),"noch offen",IF(C21="Ja","VERBOTEN (Art. 5)",IF(AND(D21="Ja",E21&lt;&gt;"keiner"),"Hochrisiko Anhang I und Anhang III",IF(D21="Ja","Hochrisiko Anhang I",IF(E21&lt;&gt;"keiner",IF(F21="Ja","Hochrisiko Anhang III",IF(G21="Ja","Kein Hochrisiko (Art. 6 Abs. 3)","Hochrisiko Anhang III")),IF(H21&lt;&gt;"keiner","Transparenzpflicht (Art. 50)","Geringes Risiko")))))))</f>
        <v/>
      </c>
      <c r="J21" s="12" t="str">
        <f aca="false">IF(I21="","",IF(I21="VERBOTEN (Art. 5)","02.02.2025 (NCII/CSAM: 02.12.2026)",IF(I21="Hochrisiko Anhang I und Anhang III","02.12.2027 (Anhang III) / 02.08.2028 (Anhang I Abschn. A)",IF(I21="Hochrisiko Anhang I","02.08.2028 — nur Anhang I Abschnitt A; bei Abschnitt B (u. a. Maschinen) gilt Kapitel III nicht (Art. 2 Abs. 2 n. F.)",IF(I21="Hochrisiko Anhang III","02.12.2027",IF(I21="Transparenzpflicht (Art. 50)","02.08.2026",IF(I21="Kein Hochrisiko (Art. 6 Abs. 3)","Registrierung: 02.12.2027","—")))))))</f>
        <v/>
      </c>
      <c r="K21" s="12" t="str">
        <f aca="false">IF(I21="","",IF(I21="Kein Hochrisiko (Art. 6 Abs. 3)","Ja — Art. 49 Abs. 2 (Anbieter); Bewertung VOR Inverkehrbringen dokumentieren (Art. 6 Abs. 4)",IF(I21="Hochrisiko Anhang I","Nein — Art. 49 Abs. 1 gilt nur für Anhang III",IF(AND(LEFT(E21,1)="2",OR(I21="Hochrisiko Anhang III",I21="Hochrisiko Anhang I und Anhang III")),"Nein — Registrierung auf nationaler Ebene (Art. 49 Abs. 5)",IF(OR(I21="Hochrisiko Anhang III",I21="Hochrisiko Anhang I und Anhang III"),"Ja — Art. 49 Abs. 1 (Anbieter); Behörden als Betreiber: Art. 49 Abs. 3","Nein")))))</f>
        <v/>
      </c>
      <c r="L21" s="12" t="str">
        <f aca="false">IF(A21="","",IF(I21="VERBOTEN (Art. 5)","entfällt — Einsatz unzulässig",IF(AND(H21&lt;&gt;"",H21&lt;&gt;"keiner"),"Ja — Art. 50 gilt zusätzlich ab 02.08.2026","Nein")))</f>
        <v/>
      </c>
      <c r="M21" s="11"/>
      <c r="N21" s="13"/>
    </row>
    <row r="22" customFormat="false" ht="25.5" hidden="false" customHeight="true" outlineLevel="0" collapsed="false">
      <c r="A22" s="7"/>
      <c r="B22" s="12" t="n">
        <f aca="false">IFERROR(INDEX('01_KI-Inventar'!$B$6:$B$65,MATCH(A22,'01_KI-Inventar'!$A$6:$A$65,0)),"")</f>
        <v>0</v>
      </c>
      <c r="C22" s="7"/>
      <c r="D22" s="7"/>
      <c r="E22" s="7"/>
      <c r="F22" s="7"/>
      <c r="G22" s="7"/>
      <c r="H22" s="7"/>
      <c r="I22" s="12" t="str">
        <f aca="false">IF(A22="","",IF(OR(C22="",D22="",E22="",H22="",COUNTIF(C22:H22,"Prüfung offen")&gt;0,AND(E22&lt;&gt;"keiner",OR(F22="",AND(F22&lt;&gt;"Ja",G22="")))),"noch offen",IF(C22="Ja","VERBOTEN (Art. 5)",IF(AND(D22="Ja",E22&lt;&gt;"keiner"),"Hochrisiko Anhang I und Anhang III",IF(D22="Ja","Hochrisiko Anhang I",IF(E22&lt;&gt;"keiner",IF(F22="Ja","Hochrisiko Anhang III",IF(G22="Ja","Kein Hochrisiko (Art. 6 Abs. 3)","Hochrisiko Anhang III")),IF(H22&lt;&gt;"keiner","Transparenzpflicht (Art. 50)","Geringes Risiko")))))))</f>
        <v/>
      </c>
      <c r="J22" s="12" t="str">
        <f aca="false">IF(I22="","",IF(I22="VERBOTEN (Art. 5)","02.02.2025 (NCII/CSAM: 02.12.2026)",IF(I22="Hochrisiko Anhang I und Anhang III","02.12.2027 (Anhang III) / 02.08.2028 (Anhang I Abschn. A)",IF(I22="Hochrisiko Anhang I","02.08.2028 — nur Anhang I Abschnitt A; bei Abschnitt B (u. a. Maschinen) gilt Kapitel III nicht (Art. 2 Abs. 2 n. F.)",IF(I22="Hochrisiko Anhang III","02.12.2027",IF(I22="Transparenzpflicht (Art. 50)","02.08.2026",IF(I22="Kein Hochrisiko (Art. 6 Abs. 3)","Registrierung: 02.12.2027","—")))))))</f>
        <v/>
      </c>
      <c r="K22" s="12" t="str">
        <f aca="false">IF(I22="","",IF(I22="Kein Hochrisiko (Art. 6 Abs. 3)","Ja — Art. 49 Abs. 2 (Anbieter); Bewertung VOR Inverkehrbringen dokumentieren (Art. 6 Abs. 4)",IF(I22="Hochrisiko Anhang I","Nein — Art. 49 Abs. 1 gilt nur für Anhang III",IF(AND(LEFT(E22,1)="2",OR(I22="Hochrisiko Anhang III",I22="Hochrisiko Anhang I und Anhang III")),"Nein — Registrierung auf nationaler Ebene (Art. 49 Abs. 5)",IF(OR(I22="Hochrisiko Anhang III",I22="Hochrisiko Anhang I und Anhang III"),"Ja — Art. 49 Abs. 1 (Anbieter); Behörden als Betreiber: Art. 49 Abs. 3","Nein")))))</f>
        <v/>
      </c>
      <c r="L22" s="12" t="str">
        <f aca="false">IF(A22="","",IF(I22="VERBOTEN (Art. 5)","entfällt — Einsatz unzulässig",IF(AND(H22&lt;&gt;"",H22&lt;&gt;"keiner"),"Ja — Art. 50 gilt zusätzlich ab 02.08.2026","Nein")))</f>
        <v/>
      </c>
      <c r="M22" s="11"/>
      <c r="N22" s="13"/>
    </row>
    <row r="23" customFormat="false" ht="25.5" hidden="false" customHeight="true" outlineLevel="0" collapsed="false">
      <c r="A23" s="7"/>
      <c r="B23" s="12" t="n">
        <f aca="false">IFERROR(INDEX('01_KI-Inventar'!$B$6:$B$65,MATCH(A23,'01_KI-Inventar'!$A$6:$A$65,0)),"")</f>
        <v>0</v>
      </c>
      <c r="C23" s="7"/>
      <c r="D23" s="7"/>
      <c r="E23" s="7"/>
      <c r="F23" s="7"/>
      <c r="G23" s="7"/>
      <c r="H23" s="7"/>
      <c r="I23" s="12" t="str">
        <f aca="false">IF(A23="","",IF(OR(C23="",D23="",E23="",H23="",COUNTIF(C23:H23,"Prüfung offen")&gt;0,AND(E23&lt;&gt;"keiner",OR(F23="",AND(F23&lt;&gt;"Ja",G23="")))),"noch offen",IF(C23="Ja","VERBOTEN (Art. 5)",IF(AND(D23="Ja",E23&lt;&gt;"keiner"),"Hochrisiko Anhang I und Anhang III",IF(D23="Ja","Hochrisiko Anhang I",IF(E23&lt;&gt;"keiner",IF(F23="Ja","Hochrisiko Anhang III",IF(G23="Ja","Kein Hochrisiko (Art. 6 Abs. 3)","Hochrisiko Anhang III")),IF(H23&lt;&gt;"keiner","Transparenzpflicht (Art. 50)","Geringes Risiko")))))))</f>
        <v/>
      </c>
      <c r="J23" s="12" t="str">
        <f aca="false">IF(I23="","",IF(I23="VERBOTEN (Art. 5)","02.02.2025 (NCII/CSAM: 02.12.2026)",IF(I23="Hochrisiko Anhang I und Anhang III","02.12.2027 (Anhang III) / 02.08.2028 (Anhang I Abschn. A)",IF(I23="Hochrisiko Anhang I","02.08.2028 — nur Anhang I Abschnitt A; bei Abschnitt B (u. a. Maschinen) gilt Kapitel III nicht (Art. 2 Abs. 2 n. F.)",IF(I23="Hochrisiko Anhang III","02.12.2027",IF(I23="Transparenzpflicht (Art. 50)","02.08.2026",IF(I23="Kein Hochrisiko (Art. 6 Abs. 3)","Registrierung: 02.12.2027","—")))))))</f>
        <v/>
      </c>
      <c r="K23" s="12" t="str">
        <f aca="false">IF(I23="","",IF(I23="Kein Hochrisiko (Art. 6 Abs. 3)","Ja — Art. 49 Abs. 2 (Anbieter); Bewertung VOR Inverkehrbringen dokumentieren (Art. 6 Abs. 4)",IF(I23="Hochrisiko Anhang I","Nein — Art. 49 Abs. 1 gilt nur für Anhang III",IF(AND(LEFT(E23,1)="2",OR(I23="Hochrisiko Anhang III",I23="Hochrisiko Anhang I und Anhang III")),"Nein — Registrierung auf nationaler Ebene (Art. 49 Abs. 5)",IF(OR(I23="Hochrisiko Anhang III",I23="Hochrisiko Anhang I und Anhang III"),"Ja — Art. 49 Abs. 1 (Anbieter); Behörden als Betreiber: Art. 49 Abs. 3","Nein")))))</f>
        <v/>
      </c>
      <c r="L23" s="12" t="str">
        <f aca="false">IF(A23="","",IF(I23="VERBOTEN (Art. 5)","entfällt — Einsatz unzulässig",IF(AND(H23&lt;&gt;"",H23&lt;&gt;"keiner"),"Ja — Art. 50 gilt zusätzlich ab 02.08.2026","Nein")))</f>
        <v/>
      </c>
      <c r="M23" s="11"/>
      <c r="N23" s="13"/>
    </row>
    <row r="24" customFormat="false" ht="25.5" hidden="false" customHeight="true" outlineLevel="0" collapsed="false">
      <c r="A24" s="7"/>
      <c r="B24" s="12" t="n">
        <f aca="false">IFERROR(INDEX('01_KI-Inventar'!$B$6:$B$65,MATCH(A24,'01_KI-Inventar'!$A$6:$A$65,0)),"")</f>
        <v>0</v>
      </c>
      <c r="C24" s="7"/>
      <c r="D24" s="7"/>
      <c r="E24" s="7"/>
      <c r="F24" s="7"/>
      <c r="G24" s="7"/>
      <c r="H24" s="7"/>
      <c r="I24" s="12" t="str">
        <f aca="false">IF(A24="","",IF(OR(C24="",D24="",E24="",H24="",COUNTIF(C24:H24,"Prüfung offen")&gt;0,AND(E24&lt;&gt;"keiner",OR(F24="",AND(F24&lt;&gt;"Ja",G24="")))),"noch offen",IF(C24="Ja","VERBOTEN (Art. 5)",IF(AND(D24="Ja",E24&lt;&gt;"keiner"),"Hochrisiko Anhang I und Anhang III",IF(D24="Ja","Hochrisiko Anhang I",IF(E24&lt;&gt;"keiner",IF(F24="Ja","Hochrisiko Anhang III",IF(G24="Ja","Kein Hochrisiko (Art. 6 Abs. 3)","Hochrisiko Anhang III")),IF(H24&lt;&gt;"keiner","Transparenzpflicht (Art. 50)","Geringes Risiko")))))))</f>
        <v/>
      </c>
      <c r="J24" s="12" t="str">
        <f aca="false">IF(I24="","",IF(I24="VERBOTEN (Art. 5)","02.02.2025 (NCII/CSAM: 02.12.2026)",IF(I24="Hochrisiko Anhang I und Anhang III","02.12.2027 (Anhang III) / 02.08.2028 (Anhang I Abschn. A)",IF(I24="Hochrisiko Anhang I","02.08.2028 — nur Anhang I Abschnitt A; bei Abschnitt B (u. a. Maschinen) gilt Kapitel III nicht (Art. 2 Abs. 2 n. F.)",IF(I24="Hochrisiko Anhang III","02.12.2027",IF(I24="Transparenzpflicht (Art. 50)","02.08.2026",IF(I24="Kein Hochrisiko (Art. 6 Abs. 3)","Registrierung: 02.12.2027","—")))))))</f>
        <v/>
      </c>
      <c r="K24" s="12" t="str">
        <f aca="false">IF(I24="","",IF(I24="Kein Hochrisiko (Art. 6 Abs. 3)","Ja — Art. 49 Abs. 2 (Anbieter); Bewertung VOR Inverkehrbringen dokumentieren (Art. 6 Abs. 4)",IF(I24="Hochrisiko Anhang I","Nein — Art. 49 Abs. 1 gilt nur für Anhang III",IF(AND(LEFT(E24,1)="2",OR(I24="Hochrisiko Anhang III",I24="Hochrisiko Anhang I und Anhang III")),"Nein — Registrierung auf nationaler Ebene (Art. 49 Abs. 5)",IF(OR(I24="Hochrisiko Anhang III",I24="Hochrisiko Anhang I und Anhang III"),"Ja — Art. 49 Abs. 1 (Anbieter); Behörden als Betreiber: Art. 49 Abs. 3","Nein")))))</f>
        <v/>
      </c>
      <c r="L24" s="12" t="str">
        <f aca="false">IF(A24="","",IF(I24="VERBOTEN (Art. 5)","entfällt — Einsatz unzulässig",IF(AND(H24&lt;&gt;"",H24&lt;&gt;"keiner"),"Ja — Art. 50 gilt zusätzlich ab 02.08.2026","Nein")))</f>
        <v/>
      </c>
      <c r="M24" s="11"/>
      <c r="N24" s="13"/>
    </row>
    <row r="25" customFormat="false" ht="25.5" hidden="false" customHeight="true" outlineLevel="0" collapsed="false">
      <c r="A25" s="7"/>
      <c r="B25" s="12" t="n">
        <f aca="false">IFERROR(INDEX('01_KI-Inventar'!$B$6:$B$65,MATCH(A25,'01_KI-Inventar'!$A$6:$A$65,0)),"")</f>
        <v>0</v>
      </c>
      <c r="C25" s="7"/>
      <c r="D25" s="7"/>
      <c r="E25" s="7"/>
      <c r="F25" s="7"/>
      <c r="G25" s="7"/>
      <c r="H25" s="7"/>
      <c r="I25" s="12" t="str">
        <f aca="false">IF(A25="","",IF(OR(C25="",D25="",E25="",H25="",COUNTIF(C25:H25,"Prüfung offen")&gt;0,AND(E25&lt;&gt;"keiner",OR(F25="",AND(F25&lt;&gt;"Ja",G25="")))),"noch offen",IF(C25="Ja","VERBOTEN (Art. 5)",IF(AND(D25="Ja",E25&lt;&gt;"keiner"),"Hochrisiko Anhang I und Anhang III",IF(D25="Ja","Hochrisiko Anhang I",IF(E25&lt;&gt;"keiner",IF(F25="Ja","Hochrisiko Anhang III",IF(G25="Ja","Kein Hochrisiko (Art. 6 Abs. 3)","Hochrisiko Anhang III")),IF(H25&lt;&gt;"keiner","Transparenzpflicht (Art. 50)","Geringes Risiko")))))))</f>
        <v/>
      </c>
      <c r="J25" s="12" t="str">
        <f aca="false">IF(I25="","",IF(I25="VERBOTEN (Art. 5)","02.02.2025 (NCII/CSAM: 02.12.2026)",IF(I25="Hochrisiko Anhang I und Anhang III","02.12.2027 (Anhang III) / 02.08.2028 (Anhang I Abschn. A)",IF(I25="Hochrisiko Anhang I","02.08.2028 — nur Anhang I Abschnitt A; bei Abschnitt B (u. a. Maschinen) gilt Kapitel III nicht (Art. 2 Abs. 2 n. F.)",IF(I25="Hochrisiko Anhang III","02.12.2027",IF(I25="Transparenzpflicht (Art. 50)","02.08.2026",IF(I25="Kein Hochrisiko (Art. 6 Abs. 3)","Registrierung: 02.12.2027","—")))))))</f>
        <v/>
      </c>
      <c r="K25" s="12" t="str">
        <f aca="false">IF(I25="","",IF(I25="Kein Hochrisiko (Art. 6 Abs. 3)","Ja — Art. 49 Abs. 2 (Anbieter); Bewertung VOR Inverkehrbringen dokumentieren (Art. 6 Abs. 4)",IF(I25="Hochrisiko Anhang I","Nein — Art. 49 Abs. 1 gilt nur für Anhang III",IF(AND(LEFT(E25,1)="2",OR(I25="Hochrisiko Anhang III",I25="Hochrisiko Anhang I und Anhang III")),"Nein — Registrierung auf nationaler Ebene (Art. 49 Abs. 5)",IF(OR(I25="Hochrisiko Anhang III",I25="Hochrisiko Anhang I und Anhang III"),"Ja — Art. 49 Abs. 1 (Anbieter); Behörden als Betreiber: Art. 49 Abs. 3","Nein")))))</f>
        <v/>
      </c>
      <c r="L25" s="12" t="str">
        <f aca="false">IF(A25="","",IF(I25="VERBOTEN (Art. 5)","entfällt — Einsatz unzulässig",IF(AND(H25&lt;&gt;"",H25&lt;&gt;"keiner"),"Ja — Art. 50 gilt zusätzlich ab 02.08.2026","Nein")))</f>
        <v/>
      </c>
      <c r="M25" s="11"/>
      <c r="N25" s="13"/>
    </row>
    <row r="26" customFormat="false" ht="25.5" hidden="false" customHeight="true" outlineLevel="0" collapsed="false">
      <c r="A26" s="7"/>
      <c r="B26" s="12" t="n">
        <f aca="false">IFERROR(INDEX('01_KI-Inventar'!$B$6:$B$65,MATCH(A26,'01_KI-Inventar'!$A$6:$A$65,0)),"")</f>
        <v>0</v>
      </c>
      <c r="C26" s="7"/>
      <c r="D26" s="7"/>
      <c r="E26" s="7"/>
      <c r="F26" s="7"/>
      <c r="G26" s="7"/>
      <c r="H26" s="7"/>
      <c r="I26" s="12" t="str">
        <f aca="false">IF(A26="","",IF(OR(C26="",D26="",E26="",H26="",COUNTIF(C26:H26,"Prüfung offen")&gt;0,AND(E26&lt;&gt;"keiner",OR(F26="",AND(F26&lt;&gt;"Ja",G26="")))),"noch offen",IF(C26="Ja","VERBOTEN (Art. 5)",IF(AND(D26="Ja",E26&lt;&gt;"keiner"),"Hochrisiko Anhang I und Anhang III",IF(D26="Ja","Hochrisiko Anhang I",IF(E26&lt;&gt;"keiner",IF(F26="Ja","Hochrisiko Anhang III",IF(G26="Ja","Kein Hochrisiko (Art. 6 Abs. 3)","Hochrisiko Anhang III")),IF(H26&lt;&gt;"keiner","Transparenzpflicht (Art. 50)","Geringes Risiko")))))))</f>
        <v/>
      </c>
      <c r="J26" s="12" t="str">
        <f aca="false">IF(I26="","",IF(I26="VERBOTEN (Art. 5)","02.02.2025 (NCII/CSAM: 02.12.2026)",IF(I26="Hochrisiko Anhang I und Anhang III","02.12.2027 (Anhang III) / 02.08.2028 (Anhang I Abschn. A)",IF(I26="Hochrisiko Anhang I","02.08.2028 — nur Anhang I Abschnitt A; bei Abschnitt B (u. a. Maschinen) gilt Kapitel III nicht (Art. 2 Abs. 2 n. F.)",IF(I26="Hochrisiko Anhang III","02.12.2027",IF(I26="Transparenzpflicht (Art. 50)","02.08.2026",IF(I26="Kein Hochrisiko (Art. 6 Abs. 3)","Registrierung: 02.12.2027","—")))))))</f>
        <v/>
      </c>
      <c r="K26" s="12" t="str">
        <f aca="false">IF(I26="","",IF(I26="Kein Hochrisiko (Art. 6 Abs. 3)","Ja — Art. 49 Abs. 2 (Anbieter); Bewertung VOR Inverkehrbringen dokumentieren (Art. 6 Abs. 4)",IF(I26="Hochrisiko Anhang I","Nein — Art. 49 Abs. 1 gilt nur für Anhang III",IF(AND(LEFT(E26,1)="2",OR(I26="Hochrisiko Anhang III",I26="Hochrisiko Anhang I und Anhang III")),"Nein — Registrierung auf nationaler Ebene (Art. 49 Abs. 5)",IF(OR(I26="Hochrisiko Anhang III",I26="Hochrisiko Anhang I und Anhang III"),"Ja — Art. 49 Abs. 1 (Anbieter); Behörden als Betreiber: Art. 49 Abs. 3","Nein")))))</f>
        <v/>
      </c>
      <c r="L26" s="12" t="str">
        <f aca="false">IF(A26="","",IF(I26="VERBOTEN (Art. 5)","entfällt — Einsatz unzulässig",IF(AND(H26&lt;&gt;"",H26&lt;&gt;"keiner"),"Ja — Art. 50 gilt zusätzlich ab 02.08.2026","Nein")))</f>
        <v/>
      </c>
      <c r="M26" s="11"/>
      <c r="N26" s="13"/>
    </row>
    <row r="27" customFormat="false" ht="25.5" hidden="false" customHeight="true" outlineLevel="0" collapsed="false">
      <c r="A27" s="7"/>
      <c r="B27" s="12" t="n">
        <f aca="false">IFERROR(INDEX('01_KI-Inventar'!$B$6:$B$65,MATCH(A27,'01_KI-Inventar'!$A$6:$A$65,0)),"")</f>
        <v>0</v>
      </c>
      <c r="C27" s="7"/>
      <c r="D27" s="7"/>
      <c r="E27" s="7"/>
      <c r="F27" s="7"/>
      <c r="G27" s="7"/>
      <c r="H27" s="7"/>
      <c r="I27" s="12" t="str">
        <f aca="false">IF(A27="","",IF(OR(C27="",D27="",E27="",H27="",COUNTIF(C27:H27,"Prüfung offen")&gt;0,AND(E27&lt;&gt;"keiner",OR(F27="",AND(F27&lt;&gt;"Ja",G27="")))),"noch offen",IF(C27="Ja","VERBOTEN (Art. 5)",IF(AND(D27="Ja",E27&lt;&gt;"keiner"),"Hochrisiko Anhang I und Anhang III",IF(D27="Ja","Hochrisiko Anhang I",IF(E27&lt;&gt;"keiner",IF(F27="Ja","Hochrisiko Anhang III",IF(G27="Ja","Kein Hochrisiko (Art. 6 Abs. 3)","Hochrisiko Anhang III")),IF(H27&lt;&gt;"keiner","Transparenzpflicht (Art. 50)","Geringes Risiko")))))))</f>
        <v/>
      </c>
      <c r="J27" s="12" t="str">
        <f aca="false">IF(I27="","",IF(I27="VERBOTEN (Art. 5)","02.02.2025 (NCII/CSAM: 02.12.2026)",IF(I27="Hochrisiko Anhang I und Anhang III","02.12.2027 (Anhang III) / 02.08.2028 (Anhang I Abschn. A)",IF(I27="Hochrisiko Anhang I","02.08.2028 — nur Anhang I Abschnitt A; bei Abschnitt B (u. a. Maschinen) gilt Kapitel III nicht (Art. 2 Abs. 2 n. F.)",IF(I27="Hochrisiko Anhang III","02.12.2027",IF(I27="Transparenzpflicht (Art. 50)","02.08.2026",IF(I27="Kein Hochrisiko (Art. 6 Abs. 3)","Registrierung: 02.12.2027","—")))))))</f>
        <v/>
      </c>
      <c r="K27" s="12" t="str">
        <f aca="false">IF(I27="","",IF(I27="Kein Hochrisiko (Art. 6 Abs. 3)","Ja — Art. 49 Abs. 2 (Anbieter); Bewertung VOR Inverkehrbringen dokumentieren (Art. 6 Abs. 4)",IF(I27="Hochrisiko Anhang I","Nein — Art. 49 Abs. 1 gilt nur für Anhang III",IF(AND(LEFT(E27,1)="2",OR(I27="Hochrisiko Anhang III",I27="Hochrisiko Anhang I und Anhang III")),"Nein — Registrierung auf nationaler Ebene (Art. 49 Abs. 5)",IF(OR(I27="Hochrisiko Anhang III",I27="Hochrisiko Anhang I und Anhang III"),"Ja — Art. 49 Abs. 1 (Anbieter); Behörden als Betreiber: Art. 49 Abs. 3","Nein")))))</f>
        <v/>
      </c>
      <c r="L27" s="12" t="str">
        <f aca="false">IF(A27="","",IF(I27="VERBOTEN (Art. 5)","entfällt — Einsatz unzulässig",IF(AND(H27&lt;&gt;"",H27&lt;&gt;"keiner"),"Ja — Art. 50 gilt zusätzlich ab 02.08.2026","Nein")))</f>
        <v/>
      </c>
      <c r="M27" s="11"/>
      <c r="N27" s="13"/>
    </row>
    <row r="28" customFormat="false" ht="25.5" hidden="false" customHeight="true" outlineLevel="0" collapsed="false">
      <c r="A28" s="7"/>
      <c r="B28" s="12" t="n">
        <f aca="false">IFERROR(INDEX('01_KI-Inventar'!$B$6:$B$65,MATCH(A28,'01_KI-Inventar'!$A$6:$A$65,0)),"")</f>
        <v>0</v>
      </c>
      <c r="C28" s="7"/>
      <c r="D28" s="7"/>
      <c r="E28" s="7"/>
      <c r="F28" s="7"/>
      <c r="G28" s="7"/>
      <c r="H28" s="7"/>
      <c r="I28" s="12" t="str">
        <f aca="false">IF(A28="","",IF(OR(C28="",D28="",E28="",H28="",COUNTIF(C28:H28,"Prüfung offen")&gt;0,AND(E28&lt;&gt;"keiner",OR(F28="",AND(F28&lt;&gt;"Ja",G28="")))),"noch offen",IF(C28="Ja","VERBOTEN (Art. 5)",IF(AND(D28="Ja",E28&lt;&gt;"keiner"),"Hochrisiko Anhang I und Anhang III",IF(D28="Ja","Hochrisiko Anhang I",IF(E28&lt;&gt;"keiner",IF(F28="Ja","Hochrisiko Anhang III",IF(G28="Ja","Kein Hochrisiko (Art. 6 Abs. 3)","Hochrisiko Anhang III")),IF(H28&lt;&gt;"keiner","Transparenzpflicht (Art. 50)","Geringes Risiko")))))))</f>
        <v/>
      </c>
      <c r="J28" s="12" t="str">
        <f aca="false">IF(I28="","",IF(I28="VERBOTEN (Art. 5)","02.02.2025 (NCII/CSAM: 02.12.2026)",IF(I28="Hochrisiko Anhang I und Anhang III","02.12.2027 (Anhang III) / 02.08.2028 (Anhang I Abschn. A)",IF(I28="Hochrisiko Anhang I","02.08.2028 — nur Anhang I Abschnitt A; bei Abschnitt B (u. a. Maschinen) gilt Kapitel III nicht (Art. 2 Abs. 2 n. F.)",IF(I28="Hochrisiko Anhang III","02.12.2027",IF(I28="Transparenzpflicht (Art. 50)","02.08.2026",IF(I28="Kein Hochrisiko (Art. 6 Abs. 3)","Registrierung: 02.12.2027","—")))))))</f>
        <v/>
      </c>
      <c r="K28" s="12" t="str">
        <f aca="false">IF(I28="","",IF(I28="Kein Hochrisiko (Art. 6 Abs. 3)","Ja — Art. 49 Abs. 2 (Anbieter); Bewertung VOR Inverkehrbringen dokumentieren (Art. 6 Abs. 4)",IF(I28="Hochrisiko Anhang I","Nein — Art. 49 Abs. 1 gilt nur für Anhang III",IF(AND(LEFT(E28,1)="2",OR(I28="Hochrisiko Anhang III",I28="Hochrisiko Anhang I und Anhang III")),"Nein — Registrierung auf nationaler Ebene (Art. 49 Abs. 5)",IF(OR(I28="Hochrisiko Anhang III",I28="Hochrisiko Anhang I und Anhang III"),"Ja — Art. 49 Abs. 1 (Anbieter); Behörden als Betreiber: Art. 49 Abs. 3","Nein")))))</f>
        <v/>
      </c>
      <c r="L28" s="12" t="str">
        <f aca="false">IF(A28="","",IF(I28="VERBOTEN (Art. 5)","entfällt — Einsatz unzulässig",IF(AND(H28&lt;&gt;"",H28&lt;&gt;"keiner"),"Ja — Art. 50 gilt zusätzlich ab 02.08.2026","Nein")))</f>
        <v/>
      </c>
      <c r="M28" s="11"/>
      <c r="N28" s="13"/>
    </row>
    <row r="29" customFormat="false" ht="25.5" hidden="false" customHeight="true" outlineLevel="0" collapsed="false">
      <c r="A29" s="7"/>
      <c r="B29" s="12" t="n">
        <f aca="false">IFERROR(INDEX('01_KI-Inventar'!$B$6:$B$65,MATCH(A29,'01_KI-Inventar'!$A$6:$A$65,0)),"")</f>
        <v>0</v>
      </c>
      <c r="C29" s="7"/>
      <c r="D29" s="7"/>
      <c r="E29" s="7"/>
      <c r="F29" s="7"/>
      <c r="G29" s="7"/>
      <c r="H29" s="7"/>
      <c r="I29" s="12" t="str">
        <f aca="false">IF(A29="","",IF(OR(C29="",D29="",E29="",H29="",COUNTIF(C29:H29,"Prüfung offen")&gt;0,AND(E29&lt;&gt;"keiner",OR(F29="",AND(F29&lt;&gt;"Ja",G29="")))),"noch offen",IF(C29="Ja","VERBOTEN (Art. 5)",IF(AND(D29="Ja",E29&lt;&gt;"keiner"),"Hochrisiko Anhang I und Anhang III",IF(D29="Ja","Hochrisiko Anhang I",IF(E29&lt;&gt;"keiner",IF(F29="Ja","Hochrisiko Anhang III",IF(G29="Ja","Kein Hochrisiko (Art. 6 Abs. 3)","Hochrisiko Anhang III")),IF(H29&lt;&gt;"keiner","Transparenzpflicht (Art. 50)","Geringes Risiko")))))))</f>
        <v/>
      </c>
      <c r="J29" s="12" t="str">
        <f aca="false">IF(I29="","",IF(I29="VERBOTEN (Art. 5)","02.02.2025 (NCII/CSAM: 02.12.2026)",IF(I29="Hochrisiko Anhang I und Anhang III","02.12.2027 (Anhang III) / 02.08.2028 (Anhang I Abschn. A)",IF(I29="Hochrisiko Anhang I","02.08.2028 — nur Anhang I Abschnitt A; bei Abschnitt B (u. a. Maschinen) gilt Kapitel III nicht (Art. 2 Abs. 2 n. F.)",IF(I29="Hochrisiko Anhang III","02.12.2027",IF(I29="Transparenzpflicht (Art. 50)","02.08.2026",IF(I29="Kein Hochrisiko (Art. 6 Abs. 3)","Registrierung: 02.12.2027","—")))))))</f>
        <v/>
      </c>
      <c r="K29" s="12" t="str">
        <f aca="false">IF(I29="","",IF(I29="Kein Hochrisiko (Art. 6 Abs. 3)","Ja — Art. 49 Abs. 2 (Anbieter); Bewertung VOR Inverkehrbringen dokumentieren (Art. 6 Abs. 4)",IF(I29="Hochrisiko Anhang I","Nein — Art. 49 Abs. 1 gilt nur für Anhang III",IF(AND(LEFT(E29,1)="2",OR(I29="Hochrisiko Anhang III",I29="Hochrisiko Anhang I und Anhang III")),"Nein — Registrierung auf nationaler Ebene (Art. 49 Abs. 5)",IF(OR(I29="Hochrisiko Anhang III",I29="Hochrisiko Anhang I und Anhang III"),"Ja — Art. 49 Abs. 1 (Anbieter); Behörden als Betreiber: Art. 49 Abs. 3","Nein")))))</f>
        <v/>
      </c>
      <c r="L29" s="12" t="str">
        <f aca="false">IF(A29="","",IF(I29="VERBOTEN (Art. 5)","entfällt — Einsatz unzulässig",IF(AND(H29&lt;&gt;"",H29&lt;&gt;"keiner"),"Ja — Art. 50 gilt zusätzlich ab 02.08.2026","Nein")))</f>
        <v/>
      </c>
      <c r="M29" s="11"/>
      <c r="N29" s="13"/>
    </row>
    <row r="30" customFormat="false" ht="25.5" hidden="false" customHeight="true" outlineLevel="0" collapsed="false">
      <c r="A30" s="7"/>
      <c r="B30" s="12" t="n">
        <f aca="false">IFERROR(INDEX('01_KI-Inventar'!$B$6:$B$65,MATCH(A30,'01_KI-Inventar'!$A$6:$A$65,0)),"")</f>
        <v>0</v>
      </c>
      <c r="C30" s="7"/>
      <c r="D30" s="7"/>
      <c r="E30" s="7"/>
      <c r="F30" s="7"/>
      <c r="G30" s="7"/>
      <c r="H30" s="7"/>
      <c r="I30" s="12" t="str">
        <f aca="false">IF(A30="","",IF(OR(C30="",D30="",E30="",H30="",COUNTIF(C30:H30,"Prüfung offen")&gt;0,AND(E30&lt;&gt;"keiner",OR(F30="",AND(F30&lt;&gt;"Ja",G30="")))),"noch offen",IF(C30="Ja","VERBOTEN (Art. 5)",IF(AND(D30="Ja",E30&lt;&gt;"keiner"),"Hochrisiko Anhang I und Anhang III",IF(D30="Ja","Hochrisiko Anhang I",IF(E30&lt;&gt;"keiner",IF(F30="Ja","Hochrisiko Anhang III",IF(G30="Ja","Kein Hochrisiko (Art. 6 Abs. 3)","Hochrisiko Anhang III")),IF(H30&lt;&gt;"keiner","Transparenzpflicht (Art. 50)","Geringes Risiko")))))))</f>
        <v/>
      </c>
      <c r="J30" s="12" t="str">
        <f aca="false">IF(I30="","",IF(I30="VERBOTEN (Art. 5)","02.02.2025 (NCII/CSAM: 02.12.2026)",IF(I30="Hochrisiko Anhang I und Anhang III","02.12.2027 (Anhang III) / 02.08.2028 (Anhang I Abschn. A)",IF(I30="Hochrisiko Anhang I","02.08.2028 — nur Anhang I Abschnitt A; bei Abschnitt B (u. a. Maschinen) gilt Kapitel III nicht (Art. 2 Abs. 2 n. F.)",IF(I30="Hochrisiko Anhang III","02.12.2027",IF(I30="Transparenzpflicht (Art. 50)","02.08.2026",IF(I30="Kein Hochrisiko (Art. 6 Abs. 3)","Registrierung: 02.12.2027","—")))))))</f>
        <v/>
      </c>
      <c r="K30" s="12" t="str">
        <f aca="false">IF(I30="","",IF(I30="Kein Hochrisiko (Art. 6 Abs. 3)","Ja — Art. 49 Abs. 2 (Anbieter); Bewertung VOR Inverkehrbringen dokumentieren (Art. 6 Abs. 4)",IF(I30="Hochrisiko Anhang I","Nein — Art. 49 Abs. 1 gilt nur für Anhang III",IF(AND(LEFT(E30,1)="2",OR(I30="Hochrisiko Anhang III",I30="Hochrisiko Anhang I und Anhang III")),"Nein — Registrierung auf nationaler Ebene (Art. 49 Abs. 5)",IF(OR(I30="Hochrisiko Anhang III",I30="Hochrisiko Anhang I und Anhang III"),"Ja — Art. 49 Abs. 1 (Anbieter); Behörden als Betreiber: Art. 49 Abs. 3","Nein")))))</f>
        <v/>
      </c>
      <c r="L30" s="12" t="str">
        <f aca="false">IF(A30="","",IF(I30="VERBOTEN (Art. 5)","entfällt — Einsatz unzulässig",IF(AND(H30&lt;&gt;"",H30&lt;&gt;"keiner"),"Ja — Art. 50 gilt zusätzlich ab 02.08.2026","Nein")))</f>
        <v/>
      </c>
      <c r="M30" s="11"/>
      <c r="N30" s="13"/>
    </row>
    <row r="31" customFormat="false" ht="25.5" hidden="false" customHeight="true" outlineLevel="0" collapsed="false">
      <c r="A31" s="7"/>
      <c r="B31" s="12" t="n">
        <f aca="false">IFERROR(INDEX('01_KI-Inventar'!$B$6:$B$65,MATCH(A31,'01_KI-Inventar'!$A$6:$A$65,0)),"")</f>
        <v>0</v>
      </c>
      <c r="C31" s="7"/>
      <c r="D31" s="7"/>
      <c r="E31" s="7"/>
      <c r="F31" s="7"/>
      <c r="G31" s="7"/>
      <c r="H31" s="7"/>
      <c r="I31" s="12" t="str">
        <f aca="false">IF(A31="","",IF(OR(C31="",D31="",E31="",H31="",COUNTIF(C31:H31,"Prüfung offen")&gt;0,AND(E31&lt;&gt;"keiner",OR(F31="",AND(F31&lt;&gt;"Ja",G31="")))),"noch offen",IF(C31="Ja","VERBOTEN (Art. 5)",IF(AND(D31="Ja",E31&lt;&gt;"keiner"),"Hochrisiko Anhang I und Anhang III",IF(D31="Ja","Hochrisiko Anhang I",IF(E31&lt;&gt;"keiner",IF(F31="Ja","Hochrisiko Anhang III",IF(G31="Ja","Kein Hochrisiko (Art. 6 Abs. 3)","Hochrisiko Anhang III")),IF(H31&lt;&gt;"keiner","Transparenzpflicht (Art. 50)","Geringes Risiko")))))))</f>
        <v/>
      </c>
      <c r="J31" s="12" t="str">
        <f aca="false">IF(I31="","",IF(I31="VERBOTEN (Art. 5)","02.02.2025 (NCII/CSAM: 02.12.2026)",IF(I31="Hochrisiko Anhang I und Anhang III","02.12.2027 (Anhang III) / 02.08.2028 (Anhang I Abschn. A)",IF(I31="Hochrisiko Anhang I","02.08.2028 — nur Anhang I Abschnitt A; bei Abschnitt B (u. a. Maschinen) gilt Kapitel III nicht (Art. 2 Abs. 2 n. F.)",IF(I31="Hochrisiko Anhang III","02.12.2027",IF(I31="Transparenzpflicht (Art. 50)","02.08.2026",IF(I31="Kein Hochrisiko (Art. 6 Abs. 3)","Registrierung: 02.12.2027","—")))))))</f>
        <v/>
      </c>
      <c r="K31" s="12" t="str">
        <f aca="false">IF(I31="","",IF(I31="Kein Hochrisiko (Art. 6 Abs. 3)","Ja — Art. 49 Abs. 2 (Anbieter); Bewertung VOR Inverkehrbringen dokumentieren (Art. 6 Abs. 4)",IF(I31="Hochrisiko Anhang I","Nein — Art. 49 Abs. 1 gilt nur für Anhang III",IF(AND(LEFT(E31,1)="2",OR(I31="Hochrisiko Anhang III",I31="Hochrisiko Anhang I und Anhang III")),"Nein — Registrierung auf nationaler Ebene (Art. 49 Abs. 5)",IF(OR(I31="Hochrisiko Anhang III",I31="Hochrisiko Anhang I und Anhang III"),"Ja — Art. 49 Abs. 1 (Anbieter); Behörden als Betreiber: Art. 49 Abs. 3","Nein")))))</f>
        <v/>
      </c>
      <c r="L31" s="12" t="str">
        <f aca="false">IF(A31="","",IF(I31="VERBOTEN (Art. 5)","entfällt — Einsatz unzulässig",IF(AND(H31&lt;&gt;"",H31&lt;&gt;"keiner"),"Ja — Art. 50 gilt zusätzlich ab 02.08.2026","Nein")))</f>
        <v/>
      </c>
      <c r="M31" s="11"/>
      <c r="N31" s="13"/>
    </row>
    <row r="32" customFormat="false" ht="25.5" hidden="false" customHeight="true" outlineLevel="0" collapsed="false">
      <c r="A32" s="7"/>
      <c r="B32" s="12" t="n">
        <f aca="false">IFERROR(INDEX('01_KI-Inventar'!$B$6:$B$65,MATCH(A32,'01_KI-Inventar'!$A$6:$A$65,0)),"")</f>
        <v>0</v>
      </c>
      <c r="C32" s="7"/>
      <c r="D32" s="7"/>
      <c r="E32" s="7"/>
      <c r="F32" s="7"/>
      <c r="G32" s="7"/>
      <c r="H32" s="7"/>
      <c r="I32" s="12" t="str">
        <f aca="false">IF(A32="","",IF(OR(C32="",D32="",E32="",H32="",COUNTIF(C32:H32,"Prüfung offen")&gt;0,AND(E32&lt;&gt;"keiner",OR(F32="",AND(F32&lt;&gt;"Ja",G32="")))),"noch offen",IF(C32="Ja","VERBOTEN (Art. 5)",IF(AND(D32="Ja",E32&lt;&gt;"keiner"),"Hochrisiko Anhang I und Anhang III",IF(D32="Ja","Hochrisiko Anhang I",IF(E32&lt;&gt;"keiner",IF(F32="Ja","Hochrisiko Anhang III",IF(G32="Ja","Kein Hochrisiko (Art. 6 Abs. 3)","Hochrisiko Anhang III")),IF(H32&lt;&gt;"keiner","Transparenzpflicht (Art. 50)","Geringes Risiko")))))))</f>
        <v/>
      </c>
      <c r="J32" s="12" t="str">
        <f aca="false">IF(I32="","",IF(I32="VERBOTEN (Art. 5)","02.02.2025 (NCII/CSAM: 02.12.2026)",IF(I32="Hochrisiko Anhang I und Anhang III","02.12.2027 (Anhang III) / 02.08.2028 (Anhang I Abschn. A)",IF(I32="Hochrisiko Anhang I","02.08.2028 — nur Anhang I Abschnitt A; bei Abschnitt B (u. a. Maschinen) gilt Kapitel III nicht (Art. 2 Abs. 2 n. F.)",IF(I32="Hochrisiko Anhang III","02.12.2027",IF(I32="Transparenzpflicht (Art. 50)","02.08.2026",IF(I32="Kein Hochrisiko (Art. 6 Abs. 3)","Registrierung: 02.12.2027","—")))))))</f>
        <v/>
      </c>
      <c r="K32" s="12" t="str">
        <f aca="false">IF(I32="","",IF(I32="Kein Hochrisiko (Art. 6 Abs. 3)","Ja — Art. 49 Abs. 2 (Anbieter); Bewertung VOR Inverkehrbringen dokumentieren (Art. 6 Abs. 4)",IF(I32="Hochrisiko Anhang I","Nein — Art. 49 Abs. 1 gilt nur für Anhang III",IF(AND(LEFT(E32,1)="2",OR(I32="Hochrisiko Anhang III",I32="Hochrisiko Anhang I und Anhang III")),"Nein — Registrierung auf nationaler Ebene (Art. 49 Abs. 5)",IF(OR(I32="Hochrisiko Anhang III",I32="Hochrisiko Anhang I und Anhang III"),"Ja — Art. 49 Abs. 1 (Anbieter); Behörden als Betreiber: Art. 49 Abs. 3","Nein")))))</f>
        <v/>
      </c>
      <c r="L32" s="12" t="str">
        <f aca="false">IF(A32="","",IF(I32="VERBOTEN (Art. 5)","entfällt — Einsatz unzulässig",IF(AND(H32&lt;&gt;"",H32&lt;&gt;"keiner"),"Ja — Art. 50 gilt zusätzlich ab 02.08.2026","Nein")))</f>
        <v/>
      </c>
      <c r="M32" s="11"/>
      <c r="N32" s="13"/>
    </row>
    <row r="33" customFormat="false" ht="25.5" hidden="false" customHeight="true" outlineLevel="0" collapsed="false">
      <c r="A33" s="7"/>
      <c r="B33" s="12" t="n">
        <f aca="false">IFERROR(INDEX('01_KI-Inventar'!$B$6:$B$65,MATCH(A33,'01_KI-Inventar'!$A$6:$A$65,0)),"")</f>
        <v>0</v>
      </c>
      <c r="C33" s="7"/>
      <c r="D33" s="7"/>
      <c r="E33" s="7"/>
      <c r="F33" s="7"/>
      <c r="G33" s="7"/>
      <c r="H33" s="7"/>
      <c r="I33" s="12" t="str">
        <f aca="false">IF(A33="","",IF(OR(C33="",D33="",E33="",H33="",COUNTIF(C33:H33,"Prüfung offen")&gt;0,AND(E33&lt;&gt;"keiner",OR(F33="",AND(F33&lt;&gt;"Ja",G33="")))),"noch offen",IF(C33="Ja","VERBOTEN (Art. 5)",IF(AND(D33="Ja",E33&lt;&gt;"keiner"),"Hochrisiko Anhang I und Anhang III",IF(D33="Ja","Hochrisiko Anhang I",IF(E33&lt;&gt;"keiner",IF(F33="Ja","Hochrisiko Anhang III",IF(G33="Ja","Kein Hochrisiko (Art. 6 Abs. 3)","Hochrisiko Anhang III")),IF(H33&lt;&gt;"keiner","Transparenzpflicht (Art. 50)","Geringes Risiko")))))))</f>
        <v/>
      </c>
      <c r="J33" s="12" t="str">
        <f aca="false">IF(I33="","",IF(I33="VERBOTEN (Art. 5)","02.02.2025 (NCII/CSAM: 02.12.2026)",IF(I33="Hochrisiko Anhang I und Anhang III","02.12.2027 (Anhang III) / 02.08.2028 (Anhang I Abschn. A)",IF(I33="Hochrisiko Anhang I","02.08.2028 — nur Anhang I Abschnitt A; bei Abschnitt B (u. a. Maschinen) gilt Kapitel III nicht (Art. 2 Abs. 2 n. F.)",IF(I33="Hochrisiko Anhang III","02.12.2027",IF(I33="Transparenzpflicht (Art. 50)","02.08.2026",IF(I33="Kein Hochrisiko (Art. 6 Abs. 3)","Registrierung: 02.12.2027","—")))))))</f>
        <v/>
      </c>
      <c r="K33" s="12" t="str">
        <f aca="false">IF(I33="","",IF(I33="Kein Hochrisiko (Art. 6 Abs. 3)","Ja — Art. 49 Abs. 2 (Anbieter); Bewertung VOR Inverkehrbringen dokumentieren (Art. 6 Abs. 4)",IF(I33="Hochrisiko Anhang I","Nein — Art. 49 Abs. 1 gilt nur für Anhang III",IF(AND(LEFT(E33,1)="2",OR(I33="Hochrisiko Anhang III",I33="Hochrisiko Anhang I und Anhang III")),"Nein — Registrierung auf nationaler Ebene (Art. 49 Abs. 5)",IF(OR(I33="Hochrisiko Anhang III",I33="Hochrisiko Anhang I und Anhang III"),"Ja — Art. 49 Abs. 1 (Anbieter); Behörden als Betreiber: Art. 49 Abs. 3","Nein")))))</f>
        <v/>
      </c>
      <c r="L33" s="12" t="str">
        <f aca="false">IF(A33="","",IF(I33="VERBOTEN (Art. 5)","entfällt — Einsatz unzulässig",IF(AND(H33&lt;&gt;"",H33&lt;&gt;"keiner"),"Ja — Art. 50 gilt zusätzlich ab 02.08.2026","Nein")))</f>
        <v/>
      </c>
      <c r="M33" s="11"/>
      <c r="N33" s="13"/>
    </row>
    <row r="34" customFormat="false" ht="25.5" hidden="false" customHeight="true" outlineLevel="0" collapsed="false">
      <c r="A34" s="7"/>
      <c r="B34" s="12" t="n">
        <f aca="false">IFERROR(INDEX('01_KI-Inventar'!$B$6:$B$65,MATCH(A34,'01_KI-Inventar'!$A$6:$A$65,0)),"")</f>
        <v>0</v>
      </c>
      <c r="C34" s="7"/>
      <c r="D34" s="7"/>
      <c r="E34" s="7"/>
      <c r="F34" s="7"/>
      <c r="G34" s="7"/>
      <c r="H34" s="7"/>
      <c r="I34" s="12" t="str">
        <f aca="false">IF(A34="","",IF(OR(C34="",D34="",E34="",H34="",COUNTIF(C34:H34,"Prüfung offen")&gt;0,AND(E34&lt;&gt;"keiner",OR(F34="",AND(F34&lt;&gt;"Ja",G34="")))),"noch offen",IF(C34="Ja","VERBOTEN (Art. 5)",IF(AND(D34="Ja",E34&lt;&gt;"keiner"),"Hochrisiko Anhang I und Anhang III",IF(D34="Ja","Hochrisiko Anhang I",IF(E34&lt;&gt;"keiner",IF(F34="Ja","Hochrisiko Anhang III",IF(G34="Ja","Kein Hochrisiko (Art. 6 Abs. 3)","Hochrisiko Anhang III")),IF(H34&lt;&gt;"keiner","Transparenzpflicht (Art. 50)","Geringes Risiko")))))))</f>
        <v/>
      </c>
      <c r="J34" s="12" t="str">
        <f aca="false">IF(I34="","",IF(I34="VERBOTEN (Art. 5)","02.02.2025 (NCII/CSAM: 02.12.2026)",IF(I34="Hochrisiko Anhang I und Anhang III","02.12.2027 (Anhang III) / 02.08.2028 (Anhang I Abschn. A)",IF(I34="Hochrisiko Anhang I","02.08.2028 — nur Anhang I Abschnitt A; bei Abschnitt B (u. a. Maschinen) gilt Kapitel III nicht (Art. 2 Abs. 2 n. F.)",IF(I34="Hochrisiko Anhang III","02.12.2027",IF(I34="Transparenzpflicht (Art. 50)","02.08.2026",IF(I34="Kein Hochrisiko (Art. 6 Abs. 3)","Registrierung: 02.12.2027","—")))))))</f>
        <v/>
      </c>
      <c r="K34" s="12" t="str">
        <f aca="false">IF(I34="","",IF(I34="Kein Hochrisiko (Art. 6 Abs. 3)","Ja — Art. 49 Abs. 2 (Anbieter); Bewertung VOR Inverkehrbringen dokumentieren (Art. 6 Abs. 4)",IF(I34="Hochrisiko Anhang I","Nein — Art. 49 Abs. 1 gilt nur für Anhang III",IF(AND(LEFT(E34,1)="2",OR(I34="Hochrisiko Anhang III",I34="Hochrisiko Anhang I und Anhang III")),"Nein — Registrierung auf nationaler Ebene (Art. 49 Abs. 5)",IF(OR(I34="Hochrisiko Anhang III",I34="Hochrisiko Anhang I und Anhang III"),"Ja — Art. 49 Abs. 1 (Anbieter); Behörden als Betreiber: Art. 49 Abs. 3","Nein")))))</f>
        <v/>
      </c>
      <c r="L34" s="12" t="str">
        <f aca="false">IF(A34="","",IF(I34="VERBOTEN (Art. 5)","entfällt — Einsatz unzulässig",IF(AND(H34&lt;&gt;"",H34&lt;&gt;"keiner"),"Ja — Art. 50 gilt zusätzlich ab 02.08.2026","Nein")))</f>
        <v/>
      </c>
      <c r="M34" s="11"/>
      <c r="N34" s="13"/>
    </row>
    <row r="35" customFormat="false" ht="25.5" hidden="false" customHeight="true" outlineLevel="0" collapsed="false">
      <c r="A35" s="7"/>
      <c r="B35" s="12" t="n">
        <f aca="false">IFERROR(INDEX('01_KI-Inventar'!$B$6:$B$65,MATCH(A35,'01_KI-Inventar'!$A$6:$A$65,0)),"")</f>
        <v>0</v>
      </c>
      <c r="C35" s="7"/>
      <c r="D35" s="7"/>
      <c r="E35" s="7"/>
      <c r="F35" s="7"/>
      <c r="G35" s="7"/>
      <c r="H35" s="7"/>
      <c r="I35" s="12" t="str">
        <f aca="false">IF(A35="","",IF(OR(C35="",D35="",E35="",H35="",COUNTIF(C35:H35,"Prüfung offen")&gt;0,AND(E35&lt;&gt;"keiner",OR(F35="",AND(F35&lt;&gt;"Ja",G35="")))),"noch offen",IF(C35="Ja","VERBOTEN (Art. 5)",IF(AND(D35="Ja",E35&lt;&gt;"keiner"),"Hochrisiko Anhang I und Anhang III",IF(D35="Ja","Hochrisiko Anhang I",IF(E35&lt;&gt;"keiner",IF(F35="Ja","Hochrisiko Anhang III",IF(G35="Ja","Kein Hochrisiko (Art. 6 Abs. 3)","Hochrisiko Anhang III")),IF(H35&lt;&gt;"keiner","Transparenzpflicht (Art. 50)","Geringes Risiko")))))))</f>
        <v/>
      </c>
      <c r="J35" s="12" t="str">
        <f aca="false">IF(I35="","",IF(I35="VERBOTEN (Art. 5)","02.02.2025 (NCII/CSAM: 02.12.2026)",IF(I35="Hochrisiko Anhang I und Anhang III","02.12.2027 (Anhang III) / 02.08.2028 (Anhang I Abschn. A)",IF(I35="Hochrisiko Anhang I","02.08.2028 — nur Anhang I Abschnitt A; bei Abschnitt B (u. a. Maschinen) gilt Kapitel III nicht (Art. 2 Abs. 2 n. F.)",IF(I35="Hochrisiko Anhang III","02.12.2027",IF(I35="Transparenzpflicht (Art. 50)","02.08.2026",IF(I35="Kein Hochrisiko (Art. 6 Abs. 3)","Registrierung: 02.12.2027","—")))))))</f>
        <v/>
      </c>
      <c r="K35" s="12" t="str">
        <f aca="false">IF(I35="","",IF(I35="Kein Hochrisiko (Art. 6 Abs. 3)","Ja — Art. 49 Abs. 2 (Anbieter); Bewertung VOR Inverkehrbringen dokumentieren (Art. 6 Abs. 4)",IF(I35="Hochrisiko Anhang I","Nein — Art. 49 Abs. 1 gilt nur für Anhang III",IF(AND(LEFT(E35,1)="2",OR(I35="Hochrisiko Anhang III",I35="Hochrisiko Anhang I und Anhang III")),"Nein — Registrierung auf nationaler Ebene (Art. 49 Abs. 5)",IF(OR(I35="Hochrisiko Anhang III",I35="Hochrisiko Anhang I und Anhang III"),"Ja — Art. 49 Abs. 1 (Anbieter); Behörden als Betreiber: Art. 49 Abs. 3","Nein")))))</f>
        <v/>
      </c>
      <c r="L35" s="12" t="str">
        <f aca="false">IF(A35="","",IF(I35="VERBOTEN (Art. 5)","entfällt — Einsatz unzulässig",IF(AND(H35&lt;&gt;"",H35&lt;&gt;"keiner"),"Ja — Art. 50 gilt zusätzlich ab 02.08.2026","Nein")))</f>
        <v/>
      </c>
      <c r="M35" s="11"/>
      <c r="N35" s="13"/>
    </row>
    <row r="36" customFormat="false" ht="25.5" hidden="false" customHeight="true" outlineLevel="0" collapsed="false">
      <c r="A36" s="7"/>
      <c r="B36" s="12" t="n">
        <f aca="false">IFERROR(INDEX('01_KI-Inventar'!$B$6:$B$65,MATCH(A36,'01_KI-Inventar'!$A$6:$A$65,0)),"")</f>
        <v>0</v>
      </c>
      <c r="C36" s="7"/>
      <c r="D36" s="7"/>
      <c r="E36" s="7"/>
      <c r="F36" s="7"/>
      <c r="G36" s="7"/>
      <c r="H36" s="7"/>
      <c r="I36" s="12" t="str">
        <f aca="false">IF(A36="","",IF(OR(C36="",D36="",E36="",H36="",COUNTIF(C36:H36,"Prüfung offen")&gt;0,AND(E36&lt;&gt;"keiner",OR(F36="",AND(F36&lt;&gt;"Ja",G36="")))),"noch offen",IF(C36="Ja","VERBOTEN (Art. 5)",IF(AND(D36="Ja",E36&lt;&gt;"keiner"),"Hochrisiko Anhang I und Anhang III",IF(D36="Ja","Hochrisiko Anhang I",IF(E36&lt;&gt;"keiner",IF(F36="Ja","Hochrisiko Anhang III",IF(G36="Ja","Kein Hochrisiko (Art. 6 Abs. 3)","Hochrisiko Anhang III")),IF(H36&lt;&gt;"keiner","Transparenzpflicht (Art. 50)","Geringes Risiko")))))))</f>
        <v/>
      </c>
      <c r="J36" s="12" t="str">
        <f aca="false">IF(I36="","",IF(I36="VERBOTEN (Art. 5)","02.02.2025 (NCII/CSAM: 02.12.2026)",IF(I36="Hochrisiko Anhang I und Anhang III","02.12.2027 (Anhang III) / 02.08.2028 (Anhang I Abschn. A)",IF(I36="Hochrisiko Anhang I","02.08.2028 — nur Anhang I Abschnitt A; bei Abschnitt B (u. a. Maschinen) gilt Kapitel III nicht (Art. 2 Abs. 2 n. F.)",IF(I36="Hochrisiko Anhang III","02.12.2027",IF(I36="Transparenzpflicht (Art. 50)","02.08.2026",IF(I36="Kein Hochrisiko (Art. 6 Abs. 3)","Registrierung: 02.12.2027","—")))))))</f>
        <v/>
      </c>
      <c r="K36" s="12" t="str">
        <f aca="false">IF(I36="","",IF(I36="Kein Hochrisiko (Art. 6 Abs. 3)","Ja — Art. 49 Abs. 2 (Anbieter); Bewertung VOR Inverkehrbringen dokumentieren (Art. 6 Abs. 4)",IF(I36="Hochrisiko Anhang I","Nein — Art. 49 Abs. 1 gilt nur für Anhang III",IF(AND(LEFT(E36,1)="2",OR(I36="Hochrisiko Anhang III",I36="Hochrisiko Anhang I und Anhang III")),"Nein — Registrierung auf nationaler Ebene (Art. 49 Abs. 5)",IF(OR(I36="Hochrisiko Anhang III",I36="Hochrisiko Anhang I und Anhang III"),"Ja — Art. 49 Abs. 1 (Anbieter); Behörden als Betreiber: Art. 49 Abs. 3","Nein")))))</f>
        <v/>
      </c>
      <c r="L36" s="12" t="str">
        <f aca="false">IF(A36="","",IF(I36="VERBOTEN (Art. 5)","entfällt — Einsatz unzulässig",IF(AND(H36&lt;&gt;"",H36&lt;&gt;"keiner"),"Ja — Art. 50 gilt zusätzlich ab 02.08.2026","Nein")))</f>
        <v/>
      </c>
      <c r="M36" s="11"/>
      <c r="N36" s="13"/>
    </row>
    <row r="37" customFormat="false" ht="25.5" hidden="false" customHeight="true" outlineLevel="0" collapsed="false">
      <c r="A37" s="7"/>
      <c r="B37" s="12" t="n">
        <f aca="false">IFERROR(INDEX('01_KI-Inventar'!$B$6:$B$65,MATCH(A37,'01_KI-Inventar'!$A$6:$A$65,0)),"")</f>
        <v>0</v>
      </c>
      <c r="C37" s="7"/>
      <c r="D37" s="7"/>
      <c r="E37" s="7"/>
      <c r="F37" s="7"/>
      <c r="G37" s="7"/>
      <c r="H37" s="7"/>
      <c r="I37" s="12" t="str">
        <f aca="false">IF(A37="","",IF(OR(C37="",D37="",E37="",H37="",COUNTIF(C37:H37,"Prüfung offen")&gt;0,AND(E37&lt;&gt;"keiner",OR(F37="",AND(F37&lt;&gt;"Ja",G37="")))),"noch offen",IF(C37="Ja","VERBOTEN (Art. 5)",IF(AND(D37="Ja",E37&lt;&gt;"keiner"),"Hochrisiko Anhang I und Anhang III",IF(D37="Ja","Hochrisiko Anhang I",IF(E37&lt;&gt;"keiner",IF(F37="Ja","Hochrisiko Anhang III",IF(G37="Ja","Kein Hochrisiko (Art. 6 Abs. 3)","Hochrisiko Anhang III")),IF(H37&lt;&gt;"keiner","Transparenzpflicht (Art. 50)","Geringes Risiko")))))))</f>
        <v/>
      </c>
      <c r="J37" s="12" t="str">
        <f aca="false">IF(I37="","",IF(I37="VERBOTEN (Art. 5)","02.02.2025 (NCII/CSAM: 02.12.2026)",IF(I37="Hochrisiko Anhang I und Anhang III","02.12.2027 (Anhang III) / 02.08.2028 (Anhang I Abschn. A)",IF(I37="Hochrisiko Anhang I","02.08.2028 — nur Anhang I Abschnitt A; bei Abschnitt B (u. a. Maschinen) gilt Kapitel III nicht (Art. 2 Abs. 2 n. F.)",IF(I37="Hochrisiko Anhang III","02.12.2027",IF(I37="Transparenzpflicht (Art. 50)","02.08.2026",IF(I37="Kein Hochrisiko (Art. 6 Abs. 3)","Registrierung: 02.12.2027","—")))))))</f>
        <v/>
      </c>
      <c r="K37" s="12" t="str">
        <f aca="false">IF(I37="","",IF(I37="Kein Hochrisiko (Art. 6 Abs. 3)","Ja — Art. 49 Abs. 2 (Anbieter); Bewertung VOR Inverkehrbringen dokumentieren (Art. 6 Abs. 4)",IF(I37="Hochrisiko Anhang I","Nein — Art. 49 Abs. 1 gilt nur für Anhang III",IF(AND(LEFT(E37,1)="2",OR(I37="Hochrisiko Anhang III",I37="Hochrisiko Anhang I und Anhang III")),"Nein — Registrierung auf nationaler Ebene (Art. 49 Abs. 5)",IF(OR(I37="Hochrisiko Anhang III",I37="Hochrisiko Anhang I und Anhang III"),"Ja — Art. 49 Abs. 1 (Anbieter); Behörden als Betreiber: Art. 49 Abs. 3","Nein")))))</f>
        <v/>
      </c>
      <c r="L37" s="12" t="str">
        <f aca="false">IF(A37="","",IF(I37="VERBOTEN (Art. 5)","entfällt — Einsatz unzulässig",IF(AND(H37&lt;&gt;"",H37&lt;&gt;"keiner"),"Ja — Art. 50 gilt zusätzlich ab 02.08.2026","Nein")))</f>
        <v/>
      </c>
      <c r="M37" s="11"/>
      <c r="N37" s="13"/>
    </row>
    <row r="38" customFormat="false" ht="25.5" hidden="false" customHeight="true" outlineLevel="0" collapsed="false">
      <c r="A38" s="7"/>
      <c r="B38" s="12" t="n">
        <f aca="false">IFERROR(INDEX('01_KI-Inventar'!$B$6:$B$65,MATCH(A38,'01_KI-Inventar'!$A$6:$A$65,0)),"")</f>
        <v>0</v>
      </c>
      <c r="C38" s="7"/>
      <c r="D38" s="7"/>
      <c r="E38" s="7"/>
      <c r="F38" s="7"/>
      <c r="G38" s="7"/>
      <c r="H38" s="7"/>
      <c r="I38" s="12" t="str">
        <f aca="false">IF(A38="","",IF(OR(C38="",D38="",E38="",H38="",COUNTIF(C38:H38,"Prüfung offen")&gt;0,AND(E38&lt;&gt;"keiner",OR(F38="",AND(F38&lt;&gt;"Ja",G38="")))),"noch offen",IF(C38="Ja","VERBOTEN (Art. 5)",IF(AND(D38="Ja",E38&lt;&gt;"keiner"),"Hochrisiko Anhang I und Anhang III",IF(D38="Ja","Hochrisiko Anhang I",IF(E38&lt;&gt;"keiner",IF(F38="Ja","Hochrisiko Anhang III",IF(G38="Ja","Kein Hochrisiko (Art. 6 Abs. 3)","Hochrisiko Anhang III")),IF(H38&lt;&gt;"keiner","Transparenzpflicht (Art. 50)","Geringes Risiko")))))))</f>
        <v/>
      </c>
      <c r="J38" s="12" t="str">
        <f aca="false">IF(I38="","",IF(I38="VERBOTEN (Art. 5)","02.02.2025 (NCII/CSAM: 02.12.2026)",IF(I38="Hochrisiko Anhang I und Anhang III","02.12.2027 (Anhang III) / 02.08.2028 (Anhang I Abschn. A)",IF(I38="Hochrisiko Anhang I","02.08.2028 — nur Anhang I Abschnitt A; bei Abschnitt B (u. a. Maschinen) gilt Kapitel III nicht (Art. 2 Abs. 2 n. F.)",IF(I38="Hochrisiko Anhang III","02.12.2027",IF(I38="Transparenzpflicht (Art. 50)","02.08.2026",IF(I38="Kein Hochrisiko (Art. 6 Abs. 3)","Registrierung: 02.12.2027","—")))))))</f>
        <v/>
      </c>
      <c r="K38" s="12" t="str">
        <f aca="false">IF(I38="","",IF(I38="Kein Hochrisiko (Art. 6 Abs. 3)","Ja — Art. 49 Abs. 2 (Anbieter); Bewertung VOR Inverkehrbringen dokumentieren (Art. 6 Abs. 4)",IF(I38="Hochrisiko Anhang I","Nein — Art. 49 Abs. 1 gilt nur für Anhang III",IF(AND(LEFT(E38,1)="2",OR(I38="Hochrisiko Anhang III",I38="Hochrisiko Anhang I und Anhang III")),"Nein — Registrierung auf nationaler Ebene (Art. 49 Abs. 5)",IF(OR(I38="Hochrisiko Anhang III",I38="Hochrisiko Anhang I und Anhang III"),"Ja — Art. 49 Abs. 1 (Anbieter); Behörden als Betreiber: Art. 49 Abs. 3","Nein")))))</f>
        <v/>
      </c>
      <c r="L38" s="12" t="str">
        <f aca="false">IF(A38="","",IF(I38="VERBOTEN (Art. 5)","entfällt — Einsatz unzulässig",IF(AND(H38&lt;&gt;"",H38&lt;&gt;"keiner"),"Ja — Art. 50 gilt zusätzlich ab 02.08.2026","Nein")))</f>
        <v/>
      </c>
      <c r="M38" s="11"/>
      <c r="N38" s="13"/>
    </row>
    <row r="39" customFormat="false" ht="25.5" hidden="false" customHeight="true" outlineLevel="0" collapsed="false">
      <c r="A39" s="7"/>
      <c r="B39" s="12" t="n">
        <f aca="false">IFERROR(INDEX('01_KI-Inventar'!$B$6:$B$65,MATCH(A39,'01_KI-Inventar'!$A$6:$A$65,0)),"")</f>
        <v>0</v>
      </c>
      <c r="C39" s="7"/>
      <c r="D39" s="7"/>
      <c r="E39" s="7"/>
      <c r="F39" s="7"/>
      <c r="G39" s="7"/>
      <c r="H39" s="7"/>
      <c r="I39" s="12" t="str">
        <f aca="false">IF(A39="","",IF(OR(C39="",D39="",E39="",H39="",COUNTIF(C39:H39,"Prüfung offen")&gt;0,AND(E39&lt;&gt;"keiner",OR(F39="",AND(F39&lt;&gt;"Ja",G39="")))),"noch offen",IF(C39="Ja","VERBOTEN (Art. 5)",IF(AND(D39="Ja",E39&lt;&gt;"keiner"),"Hochrisiko Anhang I und Anhang III",IF(D39="Ja","Hochrisiko Anhang I",IF(E39&lt;&gt;"keiner",IF(F39="Ja","Hochrisiko Anhang III",IF(G39="Ja","Kein Hochrisiko (Art. 6 Abs. 3)","Hochrisiko Anhang III")),IF(H39&lt;&gt;"keiner","Transparenzpflicht (Art. 50)","Geringes Risiko")))))))</f>
        <v/>
      </c>
      <c r="J39" s="12" t="str">
        <f aca="false">IF(I39="","",IF(I39="VERBOTEN (Art. 5)","02.02.2025 (NCII/CSAM: 02.12.2026)",IF(I39="Hochrisiko Anhang I und Anhang III","02.12.2027 (Anhang III) / 02.08.2028 (Anhang I Abschn. A)",IF(I39="Hochrisiko Anhang I","02.08.2028 — nur Anhang I Abschnitt A; bei Abschnitt B (u. a. Maschinen) gilt Kapitel III nicht (Art. 2 Abs. 2 n. F.)",IF(I39="Hochrisiko Anhang III","02.12.2027",IF(I39="Transparenzpflicht (Art. 50)","02.08.2026",IF(I39="Kein Hochrisiko (Art. 6 Abs. 3)","Registrierung: 02.12.2027","—")))))))</f>
        <v/>
      </c>
      <c r="K39" s="12" t="str">
        <f aca="false">IF(I39="","",IF(I39="Kein Hochrisiko (Art. 6 Abs. 3)","Ja — Art. 49 Abs. 2 (Anbieter); Bewertung VOR Inverkehrbringen dokumentieren (Art. 6 Abs. 4)",IF(I39="Hochrisiko Anhang I","Nein — Art. 49 Abs. 1 gilt nur für Anhang III",IF(AND(LEFT(E39,1)="2",OR(I39="Hochrisiko Anhang III",I39="Hochrisiko Anhang I und Anhang III")),"Nein — Registrierung auf nationaler Ebene (Art. 49 Abs. 5)",IF(OR(I39="Hochrisiko Anhang III",I39="Hochrisiko Anhang I und Anhang III"),"Ja — Art. 49 Abs. 1 (Anbieter); Behörden als Betreiber: Art. 49 Abs. 3","Nein")))))</f>
        <v/>
      </c>
      <c r="L39" s="12" t="str">
        <f aca="false">IF(A39="","",IF(I39="VERBOTEN (Art. 5)","entfällt — Einsatz unzulässig",IF(AND(H39&lt;&gt;"",H39&lt;&gt;"keiner"),"Ja — Art. 50 gilt zusätzlich ab 02.08.2026","Nein")))</f>
        <v/>
      </c>
      <c r="M39" s="11"/>
      <c r="N39" s="13"/>
    </row>
    <row r="40" customFormat="false" ht="25.5" hidden="false" customHeight="true" outlineLevel="0" collapsed="false">
      <c r="A40" s="7"/>
      <c r="B40" s="12" t="n">
        <f aca="false">IFERROR(INDEX('01_KI-Inventar'!$B$6:$B$65,MATCH(A40,'01_KI-Inventar'!$A$6:$A$65,0)),"")</f>
        <v>0</v>
      </c>
      <c r="C40" s="7"/>
      <c r="D40" s="7"/>
      <c r="E40" s="7"/>
      <c r="F40" s="7"/>
      <c r="G40" s="7"/>
      <c r="H40" s="7"/>
      <c r="I40" s="12" t="str">
        <f aca="false">IF(A40="","",IF(OR(C40="",D40="",E40="",H40="",COUNTIF(C40:H40,"Prüfung offen")&gt;0,AND(E40&lt;&gt;"keiner",OR(F40="",AND(F40&lt;&gt;"Ja",G40="")))),"noch offen",IF(C40="Ja","VERBOTEN (Art. 5)",IF(AND(D40="Ja",E40&lt;&gt;"keiner"),"Hochrisiko Anhang I und Anhang III",IF(D40="Ja","Hochrisiko Anhang I",IF(E40&lt;&gt;"keiner",IF(F40="Ja","Hochrisiko Anhang III",IF(G40="Ja","Kein Hochrisiko (Art. 6 Abs. 3)","Hochrisiko Anhang III")),IF(H40&lt;&gt;"keiner","Transparenzpflicht (Art. 50)","Geringes Risiko")))))))</f>
        <v/>
      </c>
      <c r="J40" s="12" t="str">
        <f aca="false">IF(I40="","",IF(I40="VERBOTEN (Art. 5)","02.02.2025 (NCII/CSAM: 02.12.2026)",IF(I40="Hochrisiko Anhang I und Anhang III","02.12.2027 (Anhang III) / 02.08.2028 (Anhang I Abschn. A)",IF(I40="Hochrisiko Anhang I","02.08.2028 — nur Anhang I Abschnitt A; bei Abschnitt B (u. a. Maschinen) gilt Kapitel III nicht (Art. 2 Abs. 2 n. F.)",IF(I40="Hochrisiko Anhang III","02.12.2027",IF(I40="Transparenzpflicht (Art. 50)","02.08.2026",IF(I40="Kein Hochrisiko (Art. 6 Abs. 3)","Registrierung: 02.12.2027","—")))))))</f>
        <v/>
      </c>
      <c r="K40" s="12" t="str">
        <f aca="false">IF(I40="","",IF(I40="Kein Hochrisiko (Art. 6 Abs. 3)","Ja — Art. 49 Abs. 2 (Anbieter); Bewertung VOR Inverkehrbringen dokumentieren (Art. 6 Abs. 4)",IF(I40="Hochrisiko Anhang I","Nein — Art. 49 Abs. 1 gilt nur für Anhang III",IF(AND(LEFT(E40,1)="2",OR(I40="Hochrisiko Anhang III",I40="Hochrisiko Anhang I und Anhang III")),"Nein — Registrierung auf nationaler Ebene (Art. 49 Abs. 5)",IF(OR(I40="Hochrisiko Anhang III",I40="Hochrisiko Anhang I und Anhang III"),"Ja — Art. 49 Abs. 1 (Anbieter); Behörden als Betreiber: Art. 49 Abs. 3","Nein")))))</f>
        <v/>
      </c>
      <c r="L40" s="12" t="str">
        <f aca="false">IF(A40="","",IF(I40="VERBOTEN (Art. 5)","entfällt — Einsatz unzulässig",IF(AND(H40&lt;&gt;"",H40&lt;&gt;"keiner"),"Ja — Art. 50 gilt zusätzlich ab 02.08.2026","Nein")))</f>
        <v/>
      </c>
      <c r="M40" s="11"/>
      <c r="N40" s="13"/>
    </row>
    <row r="41" customFormat="false" ht="25.5" hidden="false" customHeight="true" outlineLevel="0" collapsed="false">
      <c r="A41" s="7"/>
      <c r="B41" s="12" t="n">
        <f aca="false">IFERROR(INDEX('01_KI-Inventar'!$B$6:$B$65,MATCH(A41,'01_KI-Inventar'!$A$6:$A$65,0)),"")</f>
        <v>0</v>
      </c>
      <c r="C41" s="7"/>
      <c r="D41" s="7"/>
      <c r="E41" s="7"/>
      <c r="F41" s="7"/>
      <c r="G41" s="7"/>
      <c r="H41" s="7"/>
      <c r="I41" s="12" t="str">
        <f aca="false">IF(A41="","",IF(OR(C41="",D41="",E41="",H41="",COUNTIF(C41:H41,"Prüfung offen")&gt;0,AND(E41&lt;&gt;"keiner",OR(F41="",AND(F41&lt;&gt;"Ja",G41="")))),"noch offen",IF(C41="Ja","VERBOTEN (Art. 5)",IF(AND(D41="Ja",E41&lt;&gt;"keiner"),"Hochrisiko Anhang I und Anhang III",IF(D41="Ja","Hochrisiko Anhang I",IF(E41&lt;&gt;"keiner",IF(F41="Ja","Hochrisiko Anhang III",IF(G41="Ja","Kein Hochrisiko (Art. 6 Abs. 3)","Hochrisiko Anhang III")),IF(H41&lt;&gt;"keiner","Transparenzpflicht (Art. 50)","Geringes Risiko")))))))</f>
        <v/>
      </c>
      <c r="J41" s="12" t="str">
        <f aca="false">IF(I41="","",IF(I41="VERBOTEN (Art. 5)","02.02.2025 (NCII/CSAM: 02.12.2026)",IF(I41="Hochrisiko Anhang I und Anhang III","02.12.2027 (Anhang III) / 02.08.2028 (Anhang I Abschn. A)",IF(I41="Hochrisiko Anhang I","02.08.2028 — nur Anhang I Abschnitt A; bei Abschnitt B (u. a. Maschinen) gilt Kapitel III nicht (Art. 2 Abs. 2 n. F.)",IF(I41="Hochrisiko Anhang III","02.12.2027",IF(I41="Transparenzpflicht (Art. 50)","02.08.2026",IF(I41="Kein Hochrisiko (Art. 6 Abs. 3)","Registrierung: 02.12.2027","—")))))))</f>
        <v/>
      </c>
      <c r="K41" s="12" t="str">
        <f aca="false">IF(I41="","",IF(I41="Kein Hochrisiko (Art. 6 Abs. 3)","Ja — Art. 49 Abs. 2 (Anbieter); Bewertung VOR Inverkehrbringen dokumentieren (Art. 6 Abs. 4)",IF(I41="Hochrisiko Anhang I","Nein — Art. 49 Abs. 1 gilt nur für Anhang III",IF(AND(LEFT(E41,1)="2",OR(I41="Hochrisiko Anhang III",I41="Hochrisiko Anhang I und Anhang III")),"Nein — Registrierung auf nationaler Ebene (Art. 49 Abs. 5)",IF(OR(I41="Hochrisiko Anhang III",I41="Hochrisiko Anhang I und Anhang III"),"Ja — Art. 49 Abs. 1 (Anbieter); Behörden als Betreiber: Art. 49 Abs. 3","Nein")))))</f>
        <v/>
      </c>
      <c r="L41" s="12" t="str">
        <f aca="false">IF(A41="","",IF(I41="VERBOTEN (Art. 5)","entfällt — Einsatz unzulässig",IF(AND(H41&lt;&gt;"",H41&lt;&gt;"keiner"),"Ja — Art. 50 gilt zusätzlich ab 02.08.2026","Nein")))</f>
        <v/>
      </c>
      <c r="M41" s="11"/>
      <c r="N41" s="13"/>
    </row>
    <row r="42" customFormat="false" ht="25.5" hidden="false" customHeight="true" outlineLevel="0" collapsed="false">
      <c r="A42" s="7"/>
      <c r="B42" s="12" t="n">
        <f aca="false">IFERROR(INDEX('01_KI-Inventar'!$B$6:$B$65,MATCH(A42,'01_KI-Inventar'!$A$6:$A$65,0)),"")</f>
        <v>0</v>
      </c>
      <c r="C42" s="7"/>
      <c r="D42" s="7"/>
      <c r="E42" s="7"/>
      <c r="F42" s="7"/>
      <c r="G42" s="7"/>
      <c r="H42" s="7"/>
      <c r="I42" s="12" t="str">
        <f aca="false">IF(A42="","",IF(OR(C42="",D42="",E42="",H42="",COUNTIF(C42:H42,"Prüfung offen")&gt;0,AND(E42&lt;&gt;"keiner",OR(F42="",AND(F42&lt;&gt;"Ja",G42="")))),"noch offen",IF(C42="Ja","VERBOTEN (Art. 5)",IF(AND(D42="Ja",E42&lt;&gt;"keiner"),"Hochrisiko Anhang I und Anhang III",IF(D42="Ja","Hochrisiko Anhang I",IF(E42&lt;&gt;"keiner",IF(F42="Ja","Hochrisiko Anhang III",IF(G42="Ja","Kein Hochrisiko (Art. 6 Abs. 3)","Hochrisiko Anhang III")),IF(H42&lt;&gt;"keiner","Transparenzpflicht (Art. 50)","Geringes Risiko")))))))</f>
        <v/>
      </c>
      <c r="J42" s="12" t="str">
        <f aca="false">IF(I42="","",IF(I42="VERBOTEN (Art. 5)","02.02.2025 (NCII/CSAM: 02.12.2026)",IF(I42="Hochrisiko Anhang I und Anhang III","02.12.2027 (Anhang III) / 02.08.2028 (Anhang I Abschn. A)",IF(I42="Hochrisiko Anhang I","02.08.2028 — nur Anhang I Abschnitt A; bei Abschnitt B (u. a. Maschinen) gilt Kapitel III nicht (Art. 2 Abs. 2 n. F.)",IF(I42="Hochrisiko Anhang III","02.12.2027",IF(I42="Transparenzpflicht (Art. 50)","02.08.2026",IF(I42="Kein Hochrisiko (Art. 6 Abs. 3)","Registrierung: 02.12.2027","—")))))))</f>
        <v/>
      </c>
      <c r="K42" s="12" t="str">
        <f aca="false">IF(I42="","",IF(I42="Kein Hochrisiko (Art. 6 Abs. 3)","Ja — Art. 49 Abs. 2 (Anbieter); Bewertung VOR Inverkehrbringen dokumentieren (Art. 6 Abs. 4)",IF(I42="Hochrisiko Anhang I","Nein — Art. 49 Abs. 1 gilt nur für Anhang III",IF(AND(LEFT(E42,1)="2",OR(I42="Hochrisiko Anhang III",I42="Hochrisiko Anhang I und Anhang III")),"Nein — Registrierung auf nationaler Ebene (Art. 49 Abs. 5)",IF(OR(I42="Hochrisiko Anhang III",I42="Hochrisiko Anhang I und Anhang III"),"Ja — Art. 49 Abs. 1 (Anbieter); Behörden als Betreiber: Art. 49 Abs. 3","Nein")))))</f>
        <v/>
      </c>
      <c r="L42" s="12" t="str">
        <f aca="false">IF(A42="","",IF(I42="VERBOTEN (Art. 5)","entfällt — Einsatz unzulässig",IF(AND(H42&lt;&gt;"",H42&lt;&gt;"keiner"),"Ja — Art. 50 gilt zusätzlich ab 02.08.2026","Nein")))</f>
        <v/>
      </c>
      <c r="M42" s="11"/>
      <c r="N42" s="13"/>
    </row>
    <row r="43" customFormat="false" ht="25.5" hidden="false" customHeight="true" outlineLevel="0" collapsed="false">
      <c r="A43" s="7"/>
      <c r="B43" s="12" t="n">
        <f aca="false">IFERROR(INDEX('01_KI-Inventar'!$B$6:$B$65,MATCH(A43,'01_KI-Inventar'!$A$6:$A$65,0)),"")</f>
        <v>0</v>
      </c>
      <c r="C43" s="7"/>
      <c r="D43" s="7"/>
      <c r="E43" s="7"/>
      <c r="F43" s="7"/>
      <c r="G43" s="7"/>
      <c r="H43" s="7"/>
      <c r="I43" s="12" t="str">
        <f aca="false">IF(A43="","",IF(OR(C43="",D43="",E43="",H43="",COUNTIF(C43:H43,"Prüfung offen")&gt;0,AND(E43&lt;&gt;"keiner",OR(F43="",AND(F43&lt;&gt;"Ja",G43="")))),"noch offen",IF(C43="Ja","VERBOTEN (Art. 5)",IF(AND(D43="Ja",E43&lt;&gt;"keiner"),"Hochrisiko Anhang I und Anhang III",IF(D43="Ja","Hochrisiko Anhang I",IF(E43&lt;&gt;"keiner",IF(F43="Ja","Hochrisiko Anhang III",IF(G43="Ja","Kein Hochrisiko (Art. 6 Abs. 3)","Hochrisiko Anhang III")),IF(H43&lt;&gt;"keiner","Transparenzpflicht (Art. 50)","Geringes Risiko")))))))</f>
        <v/>
      </c>
      <c r="J43" s="12" t="str">
        <f aca="false">IF(I43="","",IF(I43="VERBOTEN (Art. 5)","02.02.2025 (NCII/CSAM: 02.12.2026)",IF(I43="Hochrisiko Anhang I und Anhang III","02.12.2027 (Anhang III) / 02.08.2028 (Anhang I Abschn. A)",IF(I43="Hochrisiko Anhang I","02.08.2028 — nur Anhang I Abschnitt A; bei Abschnitt B (u. a. Maschinen) gilt Kapitel III nicht (Art. 2 Abs. 2 n. F.)",IF(I43="Hochrisiko Anhang III","02.12.2027",IF(I43="Transparenzpflicht (Art. 50)","02.08.2026",IF(I43="Kein Hochrisiko (Art. 6 Abs. 3)","Registrierung: 02.12.2027","—")))))))</f>
        <v/>
      </c>
      <c r="K43" s="12" t="str">
        <f aca="false">IF(I43="","",IF(I43="Kein Hochrisiko (Art. 6 Abs. 3)","Ja — Art. 49 Abs. 2 (Anbieter); Bewertung VOR Inverkehrbringen dokumentieren (Art. 6 Abs. 4)",IF(I43="Hochrisiko Anhang I","Nein — Art. 49 Abs. 1 gilt nur für Anhang III",IF(AND(LEFT(E43,1)="2",OR(I43="Hochrisiko Anhang III",I43="Hochrisiko Anhang I und Anhang III")),"Nein — Registrierung auf nationaler Ebene (Art. 49 Abs. 5)",IF(OR(I43="Hochrisiko Anhang III",I43="Hochrisiko Anhang I und Anhang III"),"Ja — Art. 49 Abs. 1 (Anbieter); Behörden als Betreiber: Art. 49 Abs. 3","Nein")))))</f>
        <v/>
      </c>
      <c r="L43" s="12" t="str">
        <f aca="false">IF(A43="","",IF(I43="VERBOTEN (Art. 5)","entfällt — Einsatz unzulässig",IF(AND(H43&lt;&gt;"",H43&lt;&gt;"keiner"),"Ja — Art. 50 gilt zusätzlich ab 02.08.2026","Nein")))</f>
        <v/>
      </c>
      <c r="M43" s="11"/>
      <c r="N43" s="13"/>
    </row>
    <row r="44" customFormat="false" ht="25.5" hidden="false" customHeight="true" outlineLevel="0" collapsed="false">
      <c r="A44" s="7"/>
      <c r="B44" s="12" t="n">
        <f aca="false">IFERROR(INDEX('01_KI-Inventar'!$B$6:$B$65,MATCH(A44,'01_KI-Inventar'!$A$6:$A$65,0)),"")</f>
        <v>0</v>
      </c>
      <c r="C44" s="7"/>
      <c r="D44" s="7"/>
      <c r="E44" s="7"/>
      <c r="F44" s="7"/>
      <c r="G44" s="7"/>
      <c r="H44" s="7"/>
      <c r="I44" s="12" t="str">
        <f aca="false">IF(A44="","",IF(OR(C44="",D44="",E44="",H44="",COUNTIF(C44:H44,"Prüfung offen")&gt;0,AND(E44&lt;&gt;"keiner",OR(F44="",AND(F44&lt;&gt;"Ja",G44="")))),"noch offen",IF(C44="Ja","VERBOTEN (Art. 5)",IF(AND(D44="Ja",E44&lt;&gt;"keiner"),"Hochrisiko Anhang I und Anhang III",IF(D44="Ja","Hochrisiko Anhang I",IF(E44&lt;&gt;"keiner",IF(F44="Ja","Hochrisiko Anhang III",IF(G44="Ja","Kein Hochrisiko (Art. 6 Abs. 3)","Hochrisiko Anhang III")),IF(H44&lt;&gt;"keiner","Transparenzpflicht (Art. 50)","Geringes Risiko")))))))</f>
        <v/>
      </c>
      <c r="J44" s="12" t="str">
        <f aca="false">IF(I44="","",IF(I44="VERBOTEN (Art. 5)","02.02.2025 (NCII/CSAM: 02.12.2026)",IF(I44="Hochrisiko Anhang I und Anhang III","02.12.2027 (Anhang III) / 02.08.2028 (Anhang I Abschn. A)",IF(I44="Hochrisiko Anhang I","02.08.2028 — nur Anhang I Abschnitt A; bei Abschnitt B (u. a. Maschinen) gilt Kapitel III nicht (Art. 2 Abs. 2 n. F.)",IF(I44="Hochrisiko Anhang III","02.12.2027",IF(I44="Transparenzpflicht (Art. 50)","02.08.2026",IF(I44="Kein Hochrisiko (Art. 6 Abs. 3)","Registrierung: 02.12.2027","—")))))))</f>
        <v/>
      </c>
      <c r="K44" s="12" t="str">
        <f aca="false">IF(I44="","",IF(I44="Kein Hochrisiko (Art. 6 Abs. 3)","Ja — Art. 49 Abs. 2 (Anbieter); Bewertung VOR Inverkehrbringen dokumentieren (Art. 6 Abs. 4)",IF(I44="Hochrisiko Anhang I","Nein — Art. 49 Abs. 1 gilt nur für Anhang III",IF(AND(LEFT(E44,1)="2",OR(I44="Hochrisiko Anhang III",I44="Hochrisiko Anhang I und Anhang III")),"Nein — Registrierung auf nationaler Ebene (Art. 49 Abs. 5)",IF(OR(I44="Hochrisiko Anhang III",I44="Hochrisiko Anhang I und Anhang III"),"Ja — Art. 49 Abs. 1 (Anbieter); Behörden als Betreiber: Art. 49 Abs. 3","Nein")))))</f>
        <v/>
      </c>
      <c r="L44" s="12" t="str">
        <f aca="false">IF(A44="","",IF(I44="VERBOTEN (Art. 5)","entfällt — Einsatz unzulässig",IF(AND(H44&lt;&gt;"",H44&lt;&gt;"keiner"),"Ja — Art. 50 gilt zusätzlich ab 02.08.2026","Nein")))</f>
        <v/>
      </c>
      <c r="M44" s="11"/>
      <c r="N44" s="13"/>
    </row>
    <row r="45" customFormat="false" ht="25.5" hidden="false" customHeight="true" outlineLevel="0" collapsed="false">
      <c r="A45" s="7"/>
      <c r="B45" s="12" t="n">
        <f aca="false">IFERROR(INDEX('01_KI-Inventar'!$B$6:$B$65,MATCH(A45,'01_KI-Inventar'!$A$6:$A$65,0)),"")</f>
        <v>0</v>
      </c>
      <c r="C45" s="7"/>
      <c r="D45" s="7"/>
      <c r="E45" s="7"/>
      <c r="F45" s="7"/>
      <c r="G45" s="7"/>
      <c r="H45" s="7"/>
      <c r="I45" s="12" t="str">
        <f aca="false">IF(A45="","",IF(OR(C45="",D45="",E45="",H45="",COUNTIF(C45:H45,"Prüfung offen")&gt;0,AND(E45&lt;&gt;"keiner",OR(F45="",AND(F45&lt;&gt;"Ja",G45="")))),"noch offen",IF(C45="Ja","VERBOTEN (Art. 5)",IF(AND(D45="Ja",E45&lt;&gt;"keiner"),"Hochrisiko Anhang I und Anhang III",IF(D45="Ja","Hochrisiko Anhang I",IF(E45&lt;&gt;"keiner",IF(F45="Ja","Hochrisiko Anhang III",IF(G45="Ja","Kein Hochrisiko (Art. 6 Abs. 3)","Hochrisiko Anhang III")),IF(H45&lt;&gt;"keiner","Transparenzpflicht (Art. 50)","Geringes Risiko")))))))</f>
        <v/>
      </c>
      <c r="J45" s="12" t="str">
        <f aca="false">IF(I45="","",IF(I45="VERBOTEN (Art. 5)","02.02.2025 (NCII/CSAM: 02.12.2026)",IF(I45="Hochrisiko Anhang I und Anhang III","02.12.2027 (Anhang III) / 02.08.2028 (Anhang I Abschn. A)",IF(I45="Hochrisiko Anhang I","02.08.2028 — nur Anhang I Abschnitt A; bei Abschnitt B (u. a. Maschinen) gilt Kapitel III nicht (Art. 2 Abs. 2 n. F.)",IF(I45="Hochrisiko Anhang III","02.12.2027",IF(I45="Transparenzpflicht (Art. 50)","02.08.2026",IF(I45="Kein Hochrisiko (Art. 6 Abs. 3)","Registrierung: 02.12.2027","—")))))))</f>
        <v/>
      </c>
      <c r="K45" s="12" t="str">
        <f aca="false">IF(I45="","",IF(I45="Kein Hochrisiko (Art. 6 Abs. 3)","Ja — Art. 49 Abs. 2 (Anbieter); Bewertung VOR Inverkehrbringen dokumentieren (Art. 6 Abs. 4)",IF(I45="Hochrisiko Anhang I","Nein — Art. 49 Abs. 1 gilt nur für Anhang III",IF(AND(LEFT(E45,1)="2",OR(I45="Hochrisiko Anhang III",I45="Hochrisiko Anhang I und Anhang III")),"Nein — Registrierung auf nationaler Ebene (Art. 49 Abs. 5)",IF(OR(I45="Hochrisiko Anhang III",I45="Hochrisiko Anhang I und Anhang III"),"Ja — Art. 49 Abs. 1 (Anbieter); Behörden als Betreiber: Art. 49 Abs. 3","Nein")))))</f>
        <v/>
      </c>
      <c r="L45" s="12" t="str">
        <f aca="false">IF(A45="","",IF(I45="VERBOTEN (Art. 5)","entfällt — Einsatz unzulässig",IF(AND(H45&lt;&gt;"",H45&lt;&gt;"keiner"),"Ja — Art. 50 gilt zusätzlich ab 02.08.2026","Nein")))</f>
        <v/>
      </c>
      <c r="M45" s="11"/>
      <c r="N45" s="13"/>
    </row>
    <row r="46" customFormat="false" ht="25.5" hidden="false" customHeight="true" outlineLevel="0" collapsed="false">
      <c r="A46" s="7"/>
      <c r="B46" s="12" t="n">
        <f aca="false">IFERROR(INDEX('01_KI-Inventar'!$B$6:$B$65,MATCH(A46,'01_KI-Inventar'!$A$6:$A$65,0)),"")</f>
        <v>0</v>
      </c>
      <c r="C46" s="7"/>
      <c r="D46" s="7"/>
      <c r="E46" s="7"/>
      <c r="F46" s="7"/>
      <c r="G46" s="7"/>
      <c r="H46" s="7"/>
      <c r="I46" s="12" t="str">
        <f aca="false">IF(A46="","",IF(OR(C46="",D46="",E46="",H46="",COUNTIF(C46:H46,"Prüfung offen")&gt;0,AND(E46&lt;&gt;"keiner",OR(F46="",AND(F46&lt;&gt;"Ja",G46="")))),"noch offen",IF(C46="Ja","VERBOTEN (Art. 5)",IF(AND(D46="Ja",E46&lt;&gt;"keiner"),"Hochrisiko Anhang I und Anhang III",IF(D46="Ja","Hochrisiko Anhang I",IF(E46&lt;&gt;"keiner",IF(F46="Ja","Hochrisiko Anhang III",IF(G46="Ja","Kein Hochrisiko (Art. 6 Abs. 3)","Hochrisiko Anhang III")),IF(H46&lt;&gt;"keiner","Transparenzpflicht (Art. 50)","Geringes Risiko")))))))</f>
        <v/>
      </c>
      <c r="J46" s="12" t="str">
        <f aca="false">IF(I46="","",IF(I46="VERBOTEN (Art. 5)","02.02.2025 (NCII/CSAM: 02.12.2026)",IF(I46="Hochrisiko Anhang I und Anhang III","02.12.2027 (Anhang III) / 02.08.2028 (Anhang I Abschn. A)",IF(I46="Hochrisiko Anhang I","02.08.2028 — nur Anhang I Abschnitt A; bei Abschnitt B (u. a. Maschinen) gilt Kapitel III nicht (Art. 2 Abs. 2 n. F.)",IF(I46="Hochrisiko Anhang III","02.12.2027",IF(I46="Transparenzpflicht (Art. 50)","02.08.2026",IF(I46="Kein Hochrisiko (Art. 6 Abs. 3)","Registrierung: 02.12.2027","—")))))))</f>
        <v/>
      </c>
      <c r="K46" s="12" t="str">
        <f aca="false">IF(I46="","",IF(I46="Kein Hochrisiko (Art. 6 Abs. 3)","Ja — Art. 49 Abs. 2 (Anbieter); Bewertung VOR Inverkehrbringen dokumentieren (Art. 6 Abs. 4)",IF(I46="Hochrisiko Anhang I","Nein — Art. 49 Abs. 1 gilt nur für Anhang III",IF(AND(LEFT(E46,1)="2",OR(I46="Hochrisiko Anhang III",I46="Hochrisiko Anhang I und Anhang III")),"Nein — Registrierung auf nationaler Ebene (Art. 49 Abs. 5)",IF(OR(I46="Hochrisiko Anhang III",I46="Hochrisiko Anhang I und Anhang III"),"Ja — Art. 49 Abs. 1 (Anbieter); Behörden als Betreiber: Art. 49 Abs. 3","Nein")))))</f>
        <v/>
      </c>
      <c r="L46" s="12" t="str">
        <f aca="false">IF(A46="","",IF(I46="VERBOTEN (Art. 5)","entfällt — Einsatz unzulässig",IF(AND(H46&lt;&gt;"",H46&lt;&gt;"keiner"),"Ja — Art. 50 gilt zusätzlich ab 02.08.2026","Nein")))</f>
        <v/>
      </c>
      <c r="M46" s="11"/>
      <c r="N46" s="13"/>
    </row>
    <row r="47" customFormat="false" ht="25.5" hidden="false" customHeight="true" outlineLevel="0" collapsed="false">
      <c r="A47" s="7"/>
      <c r="B47" s="12" t="n">
        <f aca="false">IFERROR(INDEX('01_KI-Inventar'!$B$6:$B$65,MATCH(A47,'01_KI-Inventar'!$A$6:$A$65,0)),"")</f>
        <v>0</v>
      </c>
      <c r="C47" s="7"/>
      <c r="D47" s="7"/>
      <c r="E47" s="7"/>
      <c r="F47" s="7"/>
      <c r="G47" s="7"/>
      <c r="H47" s="7"/>
      <c r="I47" s="12" t="str">
        <f aca="false">IF(A47="","",IF(OR(C47="",D47="",E47="",H47="",COUNTIF(C47:H47,"Prüfung offen")&gt;0,AND(E47&lt;&gt;"keiner",OR(F47="",AND(F47&lt;&gt;"Ja",G47="")))),"noch offen",IF(C47="Ja","VERBOTEN (Art. 5)",IF(AND(D47="Ja",E47&lt;&gt;"keiner"),"Hochrisiko Anhang I und Anhang III",IF(D47="Ja","Hochrisiko Anhang I",IF(E47&lt;&gt;"keiner",IF(F47="Ja","Hochrisiko Anhang III",IF(G47="Ja","Kein Hochrisiko (Art. 6 Abs. 3)","Hochrisiko Anhang III")),IF(H47&lt;&gt;"keiner","Transparenzpflicht (Art. 50)","Geringes Risiko")))))))</f>
        <v/>
      </c>
      <c r="J47" s="12" t="str">
        <f aca="false">IF(I47="","",IF(I47="VERBOTEN (Art. 5)","02.02.2025 (NCII/CSAM: 02.12.2026)",IF(I47="Hochrisiko Anhang I und Anhang III","02.12.2027 (Anhang III) / 02.08.2028 (Anhang I Abschn. A)",IF(I47="Hochrisiko Anhang I","02.08.2028 — nur Anhang I Abschnitt A; bei Abschnitt B (u. a. Maschinen) gilt Kapitel III nicht (Art. 2 Abs. 2 n. F.)",IF(I47="Hochrisiko Anhang III","02.12.2027",IF(I47="Transparenzpflicht (Art. 50)","02.08.2026",IF(I47="Kein Hochrisiko (Art. 6 Abs. 3)","Registrierung: 02.12.2027","—")))))))</f>
        <v/>
      </c>
      <c r="K47" s="12" t="str">
        <f aca="false">IF(I47="","",IF(I47="Kein Hochrisiko (Art. 6 Abs. 3)","Ja — Art. 49 Abs. 2 (Anbieter); Bewertung VOR Inverkehrbringen dokumentieren (Art. 6 Abs. 4)",IF(I47="Hochrisiko Anhang I","Nein — Art. 49 Abs. 1 gilt nur für Anhang III",IF(AND(LEFT(E47,1)="2",OR(I47="Hochrisiko Anhang III",I47="Hochrisiko Anhang I und Anhang III")),"Nein — Registrierung auf nationaler Ebene (Art. 49 Abs. 5)",IF(OR(I47="Hochrisiko Anhang III",I47="Hochrisiko Anhang I und Anhang III"),"Ja — Art. 49 Abs. 1 (Anbieter); Behörden als Betreiber: Art. 49 Abs. 3","Nein")))))</f>
        <v/>
      </c>
      <c r="L47" s="12" t="str">
        <f aca="false">IF(A47="","",IF(I47="VERBOTEN (Art. 5)","entfällt — Einsatz unzulässig",IF(AND(H47&lt;&gt;"",H47&lt;&gt;"keiner"),"Ja — Art. 50 gilt zusätzlich ab 02.08.2026","Nein")))</f>
        <v/>
      </c>
      <c r="M47" s="11"/>
      <c r="N47" s="13"/>
    </row>
    <row r="48" customFormat="false" ht="25.5" hidden="false" customHeight="true" outlineLevel="0" collapsed="false">
      <c r="A48" s="7"/>
      <c r="B48" s="12" t="n">
        <f aca="false">IFERROR(INDEX('01_KI-Inventar'!$B$6:$B$65,MATCH(A48,'01_KI-Inventar'!$A$6:$A$65,0)),"")</f>
        <v>0</v>
      </c>
      <c r="C48" s="7"/>
      <c r="D48" s="7"/>
      <c r="E48" s="7"/>
      <c r="F48" s="7"/>
      <c r="G48" s="7"/>
      <c r="H48" s="7"/>
      <c r="I48" s="12" t="str">
        <f aca="false">IF(A48="","",IF(OR(C48="",D48="",E48="",H48="",COUNTIF(C48:H48,"Prüfung offen")&gt;0,AND(E48&lt;&gt;"keiner",OR(F48="",AND(F48&lt;&gt;"Ja",G48="")))),"noch offen",IF(C48="Ja","VERBOTEN (Art. 5)",IF(AND(D48="Ja",E48&lt;&gt;"keiner"),"Hochrisiko Anhang I und Anhang III",IF(D48="Ja","Hochrisiko Anhang I",IF(E48&lt;&gt;"keiner",IF(F48="Ja","Hochrisiko Anhang III",IF(G48="Ja","Kein Hochrisiko (Art. 6 Abs. 3)","Hochrisiko Anhang III")),IF(H48&lt;&gt;"keiner","Transparenzpflicht (Art. 50)","Geringes Risiko")))))))</f>
        <v/>
      </c>
      <c r="J48" s="12" t="str">
        <f aca="false">IF(I48="","",IF(I48="VERBOTEN (Art. 5)","02.02.2025 (NCII/CSAM: 02.12.2026)",IF(I48="Hochrisiko Anhang I und Anhang III","02.12.2027 (Anhang III) / 02.08.2028 (Anhang I Abschn. A)",IF(I48="Hochrisiko Anhang I","02.08.2028 — nur Anhang I Abschnitt A; bei Abschnitt B (u. a. Maschinen) gilt Kapitel III nicht (Art. 2 Abs. 2 n. F.)",IF(I48="Hochrisiko Anhang III","02.12.2027",IF(I48="Transparenzpflicht (Art. 50)","02.08.2026",IF(I48="Kein Hochrisiko (Art. 6 Abs. 3)","Registrierung: 02.12.2027","—")))))))</f>
        <v/>
      </c>
      <c r="K48" s="12" t="str">
        <f aca="false">IF(I48="","",IF(I48="Kein Hochrisiko (Art. 6 Abs. 3)","Ja — Art. 49 Abs. 2 (Anbieter); Bewertung VOR Inverkehrbringen dokumentieren (Art. 6 Abs. 4)",IF(I48="Hochrisiko Anhang I","Nein — Art. 49 Abs. 1 gilt nur für Anhang III",IF(AND(LEFT(E48,1)="2",OR(I48="Hochrisiko Anhang III",I48="Hochrisiko Anhang I und Anhang III")),"Nein — Registrierung auf nationaler Ebene (Art. 49 Abs. 5)",IF(OR(I48="Hochrisiko Anhang III",I48="Hochrisiko Anhang I und Anhang III"),"Ja — Art. 49 Abs. 1 (Anbieter); Behörden als Betreiber: Art. 49 Abs. 3","Nein")))))</f>
        <v/>
      </c>
      <c r="L48" s="12" t="str">
        <f aca="false">IF(A48="","",IF(I48="VERBOTEN (Art. 5)","entfällt — Einsatz unzulässig",IF(AND(H48&lt;&gt;"",H48&lt;&gt;"keiner"),"Ja — Art. 50 gilt zusätzlich ab 02.08.2026","Nein")))</f>
        <v/>
      </c>
      <c r="M48" s="11"/>
      <c r="N48" s="13"/>
    </row>
    <row r="49" customFormat="false" ht="25.5" hidden="false" customHeight="true" outlineLevel="0" collapsed="false">
      <c r="A49" s="7"/>
      <c r="B49" s="12" t="n">
        <f aca="false">IFERROR(INDEX('01_KI-Inventar'!$B$6:$B$65,MATCH(A49,'01_KI-Inventar'!$A$6:$A$65,0)),"")</f>
        <v>0</v>
      </c>
      <c r="C49" s="7"/>
      <c r="D49" s="7"/>
      <c r="E49" s="7"/>
      <c r="F49" s="7"/>
      <c r="G49" s="7"/>
      <c r="H49" s="7"/>
      <c r="I49" s="12" t="str">
        <f aca="false">IF(A49="","",IF(OR(C49="",D49="",E49="",H49="",COUNTIF(C49:H49,"Prüfung offen")&gt;0,AND(E49&lt;&gt;"keiner",OR(F49="",AND(F49&lt;&gt;"Ja",G49="")))),"noch offen",IF(C49="Ja","VERBOTEN (Art. 5)",IF(AND(D49="Ja",E49&lt;&gt;"keiner"),"Hochrisiko Anhang I und Anhang III",IF(D49="Ja","Hochrisiko Anhang I",IF(E49&lt;&gt;"keiner",IF(F49="Ja","Hochrisiko Anhang III",IF(G49="Ja","Kein Hochrisiko (Art. 6 Abs. 3)","Hochrisiko Anhang III")),IF(H49&lt;&gt;"keiner","Transparenzpflicht (Art. 50)","Geringes Risiko")))))))</f>
        <v/>
      </c>
      <c r="J49" s="12" t="str">
        <f aca="false">IF(I49="","",IF(I49="VERBOTEN (Art. 5)","02.02.2025 (NCII/CSAM: 02.12.2026)",IF(I49="Hochrisiko Anhang I und Anhang III","02.12.2027 (Anhang III) / 02.08.2028 (Anhang I Abschn. A)",IF(I49="Hochrisiko Anhang I","02.08.2028 — nur Anhang I Abschnitt A; bei Abschnitt B (u. a. Maschinen) gilt Kapitel III nicht (Art. 2 Abs. 2 n. F.)",IF(I49="Hochrisiko Anhang III","02.12.2027",IF(I49="Transparenzpflicht (Art. 50)","02.08.2026",IF(I49="Kein Hochrisiko (Art. 6 Abs. 3)","Registrierung: 02.12.2027","—")))))))</f>
        <v/>
      </c>
      <c r="K49" s="12" t="str">
        <f aca="false">IF(I49="","",IF(I49="Kein Hochrisiko (Art. 6 Abs. 3)","Ja — Art. 49 Abs. 2 (Anbieter); Bewertung VOR Inverkehrbringen dokumentieren (Art. 6 Abs. 4)",IF(I49="Hochrisiko Anhang I","Nein — Art. 49 Abs. 1 gilt nur für Anhang III",IF(AND(LEFT(E49,1)="2",OR(I49="Hochrisiko Anhang III",I49="Hochrisiko Anhang I und Anhang III")),"Nein — Registrierung auf nationaler Ebene (Art. 49 Abs. 5)",IF(OR(I49="Hochrisiko Anhang III",I49="Hochrisiko Anhang I und Anhang III"),"Ja — Art. 49 Abs. 1 (Anbieter); Behörden als Betreiber: Art. 49 Abs. 3","Nein")))))</f>
        <v/>
      </c>
      <c r="L49" s="12" t="str">
        <f aca="false">IF(A49="","",IF(I49="VERBOTEN (Art. 5)","entfällt — Einsatz unzulässig",IF(AND(H49&lt;&gt;"",H49&lt;&gt;"keiner"),"Ja — Art. 50 gilt zusätzlich ab 02.08.2026","Nein")))</f>
        <v/>
      </c>
      <c r="M49" s="11"/>
      <c r="N49" s="13"/>
    </row>
    <row r="50" customFormat="false" ht="25.5" hidden="false" customHeight="true" outlineLevel="0" collapsed="false">
      <c r="A50" s="7"/>
      <c r="B50" s="12" t="n">
        <f aca="false">IFERROR(INDEX('01_KI-Inventar'!$B$6:$B$65,MATCH(A50,'01_KI-Inventar'!$A$6:$A$65,0)),"")</f>
        <v>0</v>
      </c>
      <c r="C50" s="7"/>
      <c r="D50" s="7"/>
      <c r="E50" s="7"/>
      <c r="F50" s="7"/>
      <c r="G50" s="7"/>
      <c r="H50" s="7"/>
      <c r="I50" s="12" t="str">
        <f aca="false">IF(A50="","",IF(OR(C50="",D50="",E50="",H50="",COUNTIF(C50:H50,"Prüfung offen")&gt;0,AND(E50&lt;&gt;"keiner",OR(F50="",AND(F50&lt;&gt;"Ja",G50="")))),"noch offen",IF(C50="Ja","VERBOTEN (Art. 5)",IF(AND(D50="Ja",E50&lt;&gt;"keiner"),"Hochrisiko Anhang I und Anhang III",IF(D50="Ja","Hochrisiko Anhang I",IF(E50&lt;&gt;"keiner",IF(F50="Ja","Hochrisiko Anhang III",IF(G50="Ja","Kein Hochrisiko (Art. 6 Abs. 3)","Hochrisiko Anhang III")),IF(H50&lt;&gt;"keiner","Transparenzpflicht (Art. 50)","Geringes Risiko")))))))</f>
        <v/>
      </c>
      <c r="J50" s="12" t="str">
        <f aca="false">IF(I50="","",IF(I50="VERBOTEN (Art. 5)","02.02.2025 (NCII/CSAM: 02.12.2026)",IF(I50="Hochrisiko Anhang I und Anhang III","02.12.2027 (Anhang III) / 02.08.2028 (Anhang I Abschn. A)",IF(I50="Hochrisiko Anhang I","02.08.2028 — nur Anhang I Abschnitt A; bei Abschnitt B (u. a. Maschinen) gilt Kapitel III nicht (Art. 2 Abs. 2 n. F.)",IF(I50="Hochrisiko Anhang III","02.12.2027",IF(I50="Transparenzpflicht (Art. 50)","02.08.2026",IF(I50="Kein Hochrisiko (Art. 6 Abs. 3)","Registrierung: 02.12.2027","—")))))))</f>
        <v/>
      </c>
      <c r="K50" s="12" t="str">
        <f aca="false">IF(I50="","",IF(I50="Kein Hochrisiko (Art. 6 Abs. 3)","Ja — Art. 49 Abs. 2 (Anbieter); Bewertung VOR Inverkehrbringen dokumentieren (Art. 6 Abs. 4)",IF(I50="Hochrisiko Anhang I","Nein — Art. 49 Abs. 1 gilt nur für Anhang III",IF(AND(LEFT(E50,1)="2",OR(I50="Hochrisiko Anhang III",I50="Hochrisiko Anhang I und Anhang III")),"Nein — Registrierung auf nationaler Ebene (Art. 49 Abs. 5)",IF(OR(I50="Hochrisiko Anhang III",I50="Hochrisiko Anhang I und Anhang III"),"Ja — Art. 49 Abs. 1 (Anbieter); Behörden als Betreiber: Art. 49 Abs. 3","Nein")))))</f>
        <v/>
      </c>
      <c r="L50" s="12" t="str">
        <f aca="false">IF(A50="","",IF(I50="VERBOTEN (Art. 5)","entfällt — Einsatz unzulässig",IF(AND(H50&lt;&gt;"",H50&lt;&gt;"keiner"),"Ja — Art. 50 gilt zusätzlich ab 02.08.2026","Nein")))</f>
        <v/>
      </c>
      <c r="M50" s="11"/>
      <c r="N50" s="13"/>
    </row>
    <row r="51" customFormat="false" ht="25.5" hidden="false" customHeight="true" outlineLevel="0" collapsed="false">
      <c r="A51" s="7"/>
      <c r="B51" s="12" t="n">
        <f aca="false">IFERROR(INDEX('01_KI-Inventar'!$B$6:$B$65,MATCH(A51,'01_KI-Inventar'!$A$6:$A$65,0)),"")</f>
        <v>0</v>
      </c>
      <c r="C51" s="7"/>
      <c r="D51" s="7"/>
      <c r="E51" s="7"/>
      <c r="F51" s="7"/>
      <c r="G51" s="7"/>
      <c r="H51" s="7"/>
      <c r="I51" s="12" t="str">
        <f aca="false">IF(A51="","",IF(OR(C51="",D51="",E51="",H51="",COUNTIF(C51:H51,"Prüfung offen")&gt;0,AND(E51&lt;&gt;"keiner",OR(F51="",AND(F51&lt;&gt;"Ja",G51="")))),"noch offen",IF(C51="Ja","VERBOTEN (Art. 5)",IF(AND(D51="Ja",E51&lt;&gt;"keiner"),"Hochrisiko Anhang I und Anhang III",IF(D51="Ja","Hochrisiko Anhang I",IF(E51&lt;&gt;"keiner",IF(F51="Ja","Hochrisiko Anhang III",IF(G51="Ja","Kein Hochrisiko (Art. 6 Abs. 3)","Hochrisiko Anhang III")),IF(H51&lt;&gt;"keiner","Transparenzpflicht (Art. 50)","Geringes Risiko")))))))</f>
        <v/>
      </c>
      <c r="J51" s="12" t="str">
        <f aca="false">IF(I51="","",IF(I51="VERBOTEN (Art. 5)","02.02.2025 (NCII/CSAM: 02.12.2026)",IF(I51="Hochrisiko Anhang I und Anhang III","02.12.2027 (Anhang III) / 02.08.2028 (Anhang I Abschn. A)",IF(I51="Hochrisiko Anhang I","02.08.2028 — nur Anhang I Abschnitt A; bei Abschnitt B (u. a. Maschinen) gilt Kapitel III nicht (Art. 2 Abs. 2 n. F.)",IF(I51="Hochrisiko Anhang III","02.12.2027",IF(I51="Transparenzpflicht (Art. 50)","02.08.2026",IF(I51="Kein Hochrisiko (Art. 6 Abs. 3)","Registrierung: 02.12.2027","—")))))))</f>
        <v/>
      </c>
      <c r="K51" s="12" t="str">
        <f aca="false">IF(I51="","",IF(I51="Kein Hochrisiko (Art. 6 Abs. 3)","Ja — Art. 49 Abs. 2 (Anbieter); Bewertung VOR Inverkehrbringen dokumentieren (Art. 6 Abs. 4)",IF(I51="Hochrisiko Anhang I","Nein — Art. 49 Abs. 1 gilt nur für Anhang III",IF(AND(LEFT(E51,1)="2",OR(I51="Hochrisiko Anhang III",I51="Hochrisiko Anhang I und Anhang III")),"Nein — Registrierung auf nationaler Ebene (Art. 49 Abs. 5)",IF(OR(I51="Hochrisiko Anhang III",I51="Hochrisiko Anhang I und Anhang III"),"Ja — Art. 49 Abs. 1 (Anbieter); Behörden als Betreiber: Art. 49 Abs. 3","Nein")))))</f>
        <v/>
      </c>
      <c r="L51" s="12" t="str">
        <f aca="false">IF(A51="","",IF(I51="VERBOTEN (Art. 5)","entfällt — Einsatz unzulässig",IF(AND(H51&lt;&gt;"",H51&lt;&gt;"keiner"),"Ja — Art. 50 gilt zusätzlich ab 02.08.2026","Nein")))</f>
        <v/>
      </c>
      <c r="M51" s="11"/>
      <c r="N51" s="13"/>
    </row>
    <row r="52" customFormat="false" ht="25.5" hidden="false" customHeight="true" outlineLevel="0" collapsed="false">
      <c r="A52" s="7"/>
      <c r="B52" s="12" t="n">
        <f aca="false">IFERROR(INDEX('01_KI-Inventar'!$B$6:$B$65,MATCH(A52,'01_KI-Inventar'!$A$6:$A$65,0)),"")</f>
        <v>0</v>
      </c>
      <c r="C52" s="7"/>
      <c r="D52" s="7"/>
      <c r="E52" s="7"/>
      <c r="F52" s="7"/>
      <c r="G52" s="7"/>
      <c r="H52" s="7"/>
      <c r="I52" s="12" t="str">
        <f aca="false">IF(A52="","",IF(OR(C52="",D52="",E52="",H52="",COUNTIF(C52:H52,"Prüfung offen")&gt;0,AND(E52&lt;&gt;"keiner",OR(F52="",AND(F52&lt;&gt;"Ja",G52="")))),"noch offen",IF(C52="Ja","VERBOTEN (Art. 5)",IF(AND(D52="Ja",E52&lt;&gt;"keiner"),"Hochrisiko Anhang I und Anhang III",IF(D52="Ja","Hochrisiko Anhang I",IF(E52&lt;&gt;"keiner",IF(F52="Ja","Hochrisiko Anhang III",IF(G52="Ja","Kein Hochrisiko (Art. 6 Abs. 3)","Hochrisiko Anhang III")),IF(H52&lt;&gt;"keiner","Transparenzpflicht (Art. 50)","Geringes Risiko")))))))</f>
        <v/>
      </c>
      <c r="J52" s="12" t="str">
        <f aca="false">IF(I52="","",IF(I52="VERBOTEN (Art. 5)","02.02.2025 (NCII/CSAM: 02.12.2026)",IF(I52="Hochrisiko Anhang I und Anhang III","02.12.2027 (Anhang III) / 02.08.2028 (Anhang I Abschn. A)",IF(I52="Hochrisiko Anhang I","02.08.2028 — nur Anhang I Abschnitt A; bei Abschnitt B (u. a. Maschinen) gilt Kapitel III nicht (Art. 2 Abs. 2 n. F.)",IF(I52="Hochrisiko Anhang III","02.12.2027",IF(I52="Transparenzpflicht (Art. 50)","02.08.2026",IF(I52="Kein Hochrisiko (Art. 6 Abs. 3)","Registrierung: 02.12.2027","—")))))))</f>
        <v/>
      </c>
      <c r="K52" s="12" t="str">
        <f aca="false">IF(I52="","",IF(I52="Kein Hochrisiko (Art. 6 Abs. 3)","Ja — Art. 49 Abs. 2 (Anbieter); Bewertung VOR Inverkehrbringen dokumentieren (Art. 6 Abs. 4)",IF(I52="Hochrisiko Anhang I","Nein — Art. 49 Abs. 1 gilt nur für Anhang III",IF(AND(LEFT(E52,1)="2",OR(I52="Hochrisiko Anhang III",I52="Hochrisiko Anhang I und Anhang III")),"Nein — Registrierung auf nationaler Ebene (Art. 49 Abs. 5)",IF(OR(I52="Hochrisiko Anhang III",I52="Hochrisiko Anhang I und Anhang III"),"Ja — Art. 49 Abs. 1 (Anbieter); Behörden als Betreiber: Art. 49 Abs. 3","Nein")))))</f>
        <v/>
      </c>
      <c r="L52" s="12" t="str">
        <f aca="false">IF(A52="","",IF(I52="VERBOTEN (Art. 5)","entfällt — Einsatz unzulässig",IF(AND(H52&lt;&gt;"",H52&lt;&gt;"keiner"),"Ja — Art. 50 gilt zusätzlich ab 02.08.2026","Nein")))</f>
        <v/>
      </c>
      <c r="M52" s="11"/>
      <c r="N52" s="13"/>
    </row>
    <row r="53" customFormat="false" ht="25.5" hidden="false" customHeight="true" outlineLevel="0" collapsed="false">
      <c r="A53" s="7"/>
      <c r="B53" s="12" t="n">
        <f aca="false">IFERROR(INDEX('01_KI-Inventar'!$B$6:$B$65,MATCH(A53,'01_KI-Inventar'!$A$6:$A$65,0)),"")</f>
        <v>0</v>
      </c>
      <c r="C53" s="7"/>
      <c r="D53" s="7"/>
      <c r="E53" s="7"/>
      <c r="F53" s="7"/>
      <c r="G53" s="7"/>
      <c r="H53" s="7"/>
      <c r="I53" s="12" t="str">
        <f aca="false">IF(A53="","",IF(OR(C53="",D53="",E53="",H53="",COUNTIF(C53:H53,"Prüfung offen")&gt;0,AND(E53&lt;&gt;"keiner",OR(F53="",AND(F53&lt;&gt;"Ja",G53="")))),"noch offen",IF(C53="Ja","VERBOTEN (Art. 5)",IF(AND(D53="Ja",E53&lt;&gt;"keiner"),"Hochrisiko Anhang I und Anhang III",IF(D53="Ja","Hochrisiko Anhang I",IF(E53&lt;&gt;"keiner",IF(F53="Ja","Hochrisiko Anhang III",IF(G53="Ja","Kein Hochrisiko (Art. 6 Abs. 3)","Hochrisiko Anhang III")),IF(H53&lt;&gt;"keiner","Transparenzpflicht (Art. 50)","Geringes Risiko")))))))</f>
        <v/>
      </c>
      <c r="J53" s="12" t="str">
        <f aca="false">IF(I53="","",IF(I53="VERBOTEN (Art. 5)","02.02.2025 (NCII/CSAM: 02.12.2026)",IF(I53="Hochrisiko Anhang I und Anhang III","02.12.2027 (Anhang III) / 02.08.2028 (Anhang I Abschn. A)",IF(I53="Hochrisiko Anhang I","02.08.2028 — nur Anhang I Abschnitt A; bei Abschnitt B (u. a. Maschinen) gilt Kapitel III nicht (Art. 2 Abs. 2 n. F.)",IF(I53="Hochrisiko Anhang III","02.12.2027",IF(I53="Transparenzpflicht (Art. 50)","02.08.2026",IF(I53="Kein Hochrisiko (Art. 6 Abs. 3)","Registrierung: 02.12.2027","—")))))))</f>
        <v/>
      </c>
      <c r="K53" s="12" t="str">
        <f aca="false">IF(I53="","",IF(I53="Kein Hochrisiko (Art. 6 Abs. 3)","Ja — Art. 49 Abs. 2 (Anbieter); Bewertung VOR Inverkehrbringen dokumentieren (Art. 6 Abs. 4)",IF(I53="Hochrisiko Anhang I","Nein — Art. 49 Abs. 1 gilt nur für Anhang III",IF(AND(LEFT(E53,1)="2",OR(I53="Hochrisiko Anhang III",I53="Hochrisiko Anhang I und Anhang III")),"Nein — Registrierung auf nationaler Ebene (Art. 49 Abs. 5)",IF(OR(I53="Hochrisiko Anhang III",I53="Hochrisiko Anhang I und Anhang III"),"Ja — Art. 49 Abs. 1 (Anbieter); Behörden als Betreiber: Art. 49 Abs. 3","Nein")))))</f>
        <v/>
      </c>
      <c r="L53" s="12" t="str">
        <f aca="false">IF(A53="","",IF(I53="VERBOTEN (Art. 5)","entfällt — Einsatz unzulässig",IF(AND(H53&lt;&gt;"",H53&lt;&gt;"keiner"),"Ja — Art. 50 gilt zusätzlich ab 02.08.2026","Nein")))</f>
        <v/>
      </c>
      <c r="M53" s="11"/>
      <c r="N53" s="13"/>
    </row>
    <row r="54" customFormat="false" ht="25.5" hidden="false" customHeight="true" outlineLevel="0" collapsed="false">
      <c r="A54" s="7"/>
      <c r="B54" s="12" t="n">
        <f aca="false">IFERROR(INDEX('01_KI-Inventar'!$B$6:$B$65,MATCH(A54,'01_KI-Inventar'!$A$6:$A$65,0)),"")</f>
        <v>0</v>
      </c>
      <c r="C54" s="7"/>
      <c r="D54" s="7"/>
      <c r="E54" s="7"/>
      <c r="F54" s="7"/>
      <c r="G54" s="7"/>
      <c r="H54" s="7"/>
      <c r="I54" s="12" t="str">
        <f aca="false">IF(A54="","",IF(OR(C54="",D54="",E54="",H54="",COUNTIF(C54:H54,"Prüfung offen")&gt;0,AND(E54&lt;&gt;"keiner",OR(F54="",AND(F54&lt;&gt;"Ja",G54="")))),"noch offen",IF(C54="Ja","VERBOTEN (Art. 5)",IF(AND(D54="Ja",E54&lt;&gt;"keiner"),"Hochrisiko Anhang I und Anhang III",IF(D54="Ja","Hochrisiko Anhang I",IF(E54&lt;&gt;"keiner",IF(F54="Ja","Hochrisiko Anhang III",IF(G54="Ja","Kein Hochrisiko (Art. 6 Abs. 3)","Hochrisiko Anhang III")),IF(H54&lt;&gt;"keiner","Transparenzpflicht (Art. 50)","Geringes Risiko")))))))</f>
        <v/>
      </c>
      <c r="J54" s="12" t="str">
        <f aca="false">IF(I54="","",IF(I54="VERBOTEN (Art. 5)","02.02.2025 (NCII/CSAM: 02.12.2026)",IF(I54="Hochrisiko Anhang I und Anhang III","02.12.2027 (Anhang III) / 02.08.2028 (Anhang I Abschn. A)",IF(I54="Hochrisiko Anhang I","02.08.2028 — nur Anhang I Abschnitt A; bei Abschnitt B (u. a. Maschinen) gilt Kapitel III nicht (Art. 2 Abs. 2 n. F.)",IF(I54="Hochrisiko Anhang III","02.12.2027",IF(I54="Transparenzpflicht (Art. 50)","02.08.2026",IF(I54="Kein Hochrisiko (Art. 6 Abs. 3)","Registrierung: 02.12.2027","—")))))))</f>
        <v/>
      </c>
      <c r="K54" s="12" t="str">
        <f aca="false">IF(I54="","",IF(I54="Kein Hochrisiko (Art. 6 Abs. 3)","Ja — Art. 49 Abs. 2 (Anbieter); Bewertung VOR Inverkehrbringen dokumentieren (Art. 6 Abs. 4)",IF(I54="Hochrisiko Anhang I","Nein — Art. 49 Abs. 1 gilt nur für Anhang III",IF(AND(LEFT(E54,1)="2",OR(I54="Hochrisiko Anhang III",I54="Hochrisiko Anhang I und Anhang III")),"Nein — Registrierung auf nationaler Ebene (Art. 49 Abs. 5)",IF(OR(I54="Hochrisiko Anhang III",I54="Hochrisiko Anhang I und Anhang III"),"Ja — Art. 49 Abs. 1 (Anbieter); Behörden als Betreiber: Art. 49 Abs. 3","Nein")))))</f>
        <v/>
      </c>
      <c r="L54" s="12" t="str">
        <f aca="false">IF(A54="","",IF(I54="VERBOTEN (Art. 5)","entfällt — Einsatz unzulässig",IF(AND(H54&lt;&gt;"",H54&lt;&gt;"keiner"),"Ja — Art. 50 gilt zusätzlich ab 02.08.2026","Nein")))</f>
        <v/>
      </c>
      <c r="M54" s="11"/>
      <c r="N54" s="13"/>
    </row>
    <row r="55" customFormat="false" ht="25.5" hidden="false" customHeight="true" outlineLevel="0" collapsed="false">
      <c r="A55" s="7"/>
      <c r="B55" s="12" t="n">
        <f aca="false">IFERROR(INDEX('01_KI-Inventar'!$B$6:$B$65,MATCH(A55,'01_KI-Inventar'!$A$6:$A$65,0)),"")</f>
        <v>0</v>
      </c>
      <c r="C55" s="7"/>
      <c r="D55" s="7"/>
      <c r="E55" s="7"/>
      <c r="F55" s="7"/>
      <c r="G55" s="7"/>
      <c r="H55" s="7"/>
      <c r="I55" s="12" t="str">
        <f aca="false">IF(A55="","",IF(OR(C55="",D55="",E55="",H55="",COUNTIF(C55:H55,"Prüfung offen")&gt;0,AND(E55&lt;&gt;"keiner",OR(F55="",AND(F55&lt;&gt;"Ja",G55="")))),"noch offen",IF(C55="Ja","VERBOTEN (Art. 5)",IF(AND(D55="Ja",E55&lt;&gt;"keiner"),"Hochrisiko Anhang I und Anhang III",IF(D55="Ja","Hochrisiko Anhang I",IF(E55&lt;&gt;"keiner",IF(F55="Ja","Hochrisiko Anhang III",IF(G55="Ja","Kein Hochrisiko (Art. 6 Abs. 3)","Hochrisiko Anhang III")),IF(H55&lt;&gt;"keiner","Transparenzpflicht (Art. 50)","Geringes Risiko")))))))</f>
        <v/>
      </c>
      <c r="J55" s="12" t="str">
        <f aca="false">IF(I55="","",IF(I55="VERBOTEN (Art. 5)","02.02.2025 (NCII/CSAM: 02.12.2026)",IF(I55="Hochrisiko Anhang I und Anhang III","02.12.2027 (Anhang III) / 02.08.2028 (Anhang I Abschn. A)",IF(I55="Hochrisiko Anhang I","02.08.2028 — nur Anhang I Abschnitt A; bei Abschnitt B (u. a. Maschinen) gilt Kapitel III nicht (Art. 2 Abs. 2 n. F.)",IF(I55="Hochrisiko Anhang III","02.12.2027",IF(I55="Transparenzpflicht (Art. 50)","02.08.2026",IF(I55="Kein Hochrisiko (Art. 6 Abs. 3)","Registrierung: 02.12.2027","—")))))))</f>
        <v/>
      </c>
      <c r="K55" s="12" t="str">
        <f aca="false">IF(I55="","",IF(I55="Kein Hochrisiko (Art. 6 Abs. 3)","Ja — Art. 49 Abs. 2 (Anbieter); Bewertung VOR Inverkehrbringen dokumentieren (Art. 6 Abs. 4)",IF(I55="Hochrisiko Anhang I","Nein — Art. 49 Abs. 1 gilt nur für Anhang III",IF(AND(LEFT(E55,1)="2",OR(I55="Hochrisiko Anhang III",I55="Hochrisiko Anhang I und Anhang III")),"Nein — Registrierung auf nationaler Ebene (Art. 49 Abs. 5)",IF(OR(I55="Hochrisiko Anhang III",I55="Hochrisiko Anhang I und Anhang III"),"Ja — Art. 49 Abs. 1 (Anbieter); Behörden als Betreiber: Art. 49 Abs. 3","Nein")))))</f>
        <v/>
      </c>
      <c r="L55" s="12" t="str">
        <f aca="false">IF(A55="","",IF(I55="VERBOTEN (Art. 5)","entfällt — Einsatz unzulässig",IF(AND(H55&lt;&gt;"",H55&lt;&gt;"keiner"),"Ja — Art. 50 gilt zusätzlich ab 02.08.2026","Nein")))</f>
        <v/>
      </c>
      <c r="M55" s="11"/>
      <c r="N55" s="13"/>
    </row>
    <row r="56" customFormat="false" ht="25.5" hidden="false" customHeight="true" outlineLevel="0" collapsed="false">
      <c r="A56" s="7"/>
      <c r="B56" s="12" t="n">
        <f aca="false">IFERROR(INDEX('01_KI-Inventar'!$B$6:$B$65,MATCH(A56,'01_KI-Inventar'!$A$6:$A$65,0)),"")</f>
        <v>0</v>
      </c>
      <c r="C56" s="7"/>
      <c r="D56" s="7"/>
      <c r="E56" s="7"/>
      <c r="F56" s="7"/>
      <c r="G56" s="7"/>
      <c r="H56" s="7"/>
      <c r="I56" s="12" t="str">
        <f aca="false">IF(A56="","",IF(OR(C56="",D56="",E56="",H56="",COUNTIF(C56:H56,"Prüfung offen")&gt;0,AND(E56&lt;&gt;"keiner",OR(F56="",AND(F56&lt;&gt;"Ja",G56="")))),"noch offen",IF(C56="Ja","VERBOTEN (Art. 5)",IF(AND(D56="Ja",E56&lt;&gt;"keiner"),"Hochrisiko Anhang I und Anhang III",IF(D56="Ja","Hochrisiko Anhang I",IF(E56&lt;&gt;"keiner",IF(F56="Ja","Hochrisiko Anhang III",IF(G56="Ja","Kein Hochrisiko (Art. 6 Abs. 3)","Hochrisiko Anhang III")),IF(H56&lt;&gt;"keiner","Transparenzpflicht (Art. 50)","Geringes Risiko")))))))</f>
        <v/>
      </c>
      <c r="J56" s="12" t="str">
        <f aca="false">IF(I56="","",IF(I56="VERBOTEN (Art. 5)","02.02.2025 (NCII/CSAM: 02.12.2026)",IF(I56="Hochrisiko Anhang I und Anhang III","02.12.2027 (Anhang III) / 02.08.2028 (Anhang I Abschn. A)",IF(I56="Hochrisiko Anhang I","02.08.2028 — nur Anhang I Abschnitt A; bei Abschnitt B (u. a. Maschinen) gilt Kapitel III nicht (Art. 2 Abs. 2 n. F.)",IF(I56="Hochrisiko Anhang III","02.12.2027",IF(I56="Transparenzpflicht (Art. 50)","02.08.2026",IF(I56="Kein Hochrisiko (Art. 6 Abs. 3)","Registrierung: 02.12.2027","—")))))))</f>
        <v/>
      </c>
      <c r="K56" s="12" t="str">
        <f aca="false">IF(I56="","",IF(I56="Kein Hochrisiko (Art. 6 Abs. 3)","Ja — Art. 49 Abs. 2 (Anbieter); Bewertung VOR Inverkehrbringen dokumentieren (Art. 6 Abs. 4)",IF(I56="Hochrisiko Anhang I","Nein — Art. 49 Abs. 1 gilt nur für Anhang III",IF(AND(LEFT(E56,1)="2",OR(I56="Hochrisiko Anhang III",I56="Hochrisiko Anhang I und Anhang III")),"Nein — Registrierung auf nationaler Ebene (Art. 49 Abs. 5)",IF(OR(I56="Hochrisiko Anhang III",I56="Hochrisiko Anhang I und Anhang III"),"Ja — Art. 49 Abs. 1 (Anbieter); Behörden als Betreiber: Art. 49 Abs. 3","Nein")))))</f>
        <v/>
      </c>
      <c r="L56" s="12" t="str">
        <f aca="false">IF(A56="","",IF(I56="VERBOTEN (Art. 5)","entfällt — Einsatz unzulässig",IF(AND(H56&lt;&gt;"",H56&lt;&gt;"keiner"),"Ja — Art. 50 gilt zusätzlich ab 02.08.2026","Nein")))</f>
        <v/>
      </c>
      <c r="M56" s="11"/>
      <c r="N56" s="13"/>
    </row>
    <row r="57" customFormat="false" ht="25.5" hidden="false" customHeight="true" outlineLevel="0" collapsed="false">
      <c r="A57" s="7"/>
      <c r="B57" s="12" t="n">
        <f aca="false">IFERROR(INDEX('01_KI-Inventar'!$B$6:$B$65,MATCH(A57,'01_KI-Inventar'!$A$6:$A$65,0)),"")</f>
        <v>0</v>
      </c>
      <c r="C57" s="7"/>
      <c r="D57" s="7"/>
      <c r="E57" s="7"/>
      <c r="F57" s="7"/>
      <c r="G57" s="7"/>
      <c r="H57" s="7"/>
      <c r="I57" s="12" t="str">
        <f aca="false">IF(A57="","",IF(OR(C57="",D57="",E57="",H57="",COUNTIF(C57:H57,"Prüfung offen")&gt;0,AND(E57&lt;&gt;"keiner",OR(F57="",AND(F57&lt;&gt;"Ja",G57="")))),"noch offen",IF(C57="Ja","VERBOTEN (Art. 5)",IF(AND(D57="Ja",E57&lt;&gt;"keiner"),"Hochrisiko Anhang I und Anhang III",IF(D57="Ja","Hochrisiko Anhang I",IF(E57&lt;&gt;"keiner",IF(F57="Ja","Hochrisiko Anhang III",IF(G57="Ja","Kein Hochrisiko (Art. 6 Abs. 3)","Hochrisiko Anhang III")),IF(H57&lt;&gt;"keiner","Transparenzpflicht (Art. 50)","Geringes Risiko")))))))</f>
        <v/>
      </c>
      <c r="J57" s="12" t="str">
        <f aca="false">IF(I57="","",IF(I57="VERBOTEN (Art. 5)","02.02.2025 (NCII/CSAM: 02.12.2026)",IF(I57="Hochrisiko Anhang I und Anhang III","02.12.2027 (Anhang III) / 02.08.2028 (Anhang I Abschn. A)",IF(I57="Hochrisiko Anhang I","02.08.2028 — nur Anhang I Abschnitt A; bei Abschnitt B (u. a. Maschinen) gilt Kapitel III nicht (Art. 2 Abs. 2 n. F.)",IF(I57="Hochrisiko Anhang III","02.12.2027",IF(I57="Transparenzpflicht (Art. 50)","02.08.2026",IF(I57="Kein Hochrisiko (Art. 6 Abs. 3)","Registrierung: 02.12.2027","—")))))))</f>
        <v/>
      </c>
      <c r="K57" s="12" t="str">
        <f aca="false">IF(I57="","",IF(I57="Kein Hochrisiko (Art. 6 Abs. 3)","Ja — Art. 49 Abs. 2 (Anbieter); Bewertung VOR Inverkehrbringen dokumentieren (Art. 6 Abs. 4)",IF(I57="Hochrisiko Anhang I","Nein — Art. 49 Abs. 1 gilt nur für Anhang III",IF(AND(LEFT(E57,1)="2",OR(I57="Hochrisiko Anhang III",I57="Hochrisiko Anhang I und Anhang III")),"Nein — Registrierung auf nationaler Ebene (Art. 49 Abs. 5)",IF(OR(I57="Hochrisiko Anhang III",I57="Hochrisiko Anhang I und Anhang III"),"Ja — Art. 49 Abs. 1 (Anbieter); Behörden als Betreiber: Art. 49 Abs. 3","Nein")))))</f>
        <v/>
      </c>
      <c r="L57" s="12" t="str">
        <f aca="false">IF(A57="","",IF(I57="VERBOTEN (Art. 5)","entfällt — Einsatz unzulässig",IF(AND(H57&lt;&gt;"",H57&lt;&gt;"keiner"),"Ja — Art. 50 gilt zusätzlich ab 02.08.2026","Nein")))</f>
        <v/>
      </c>
      <c r="M57" s="11"/>
      <c r="N57" s="13"/>
    </row>
    <row r="58" customFormat="false" ht="25.5" hidden="false" customHeight="true" outlineLevel="0" collapsed="false">
      <c r="A58" s="7"/>
      <c r="B58" s="12" t="n">
        <f aca="false">IFERROR(INDEX('01_KI-Inventar'!$B$6:$B$65,MATCH(A58,'01_KI-Inventar'!$A$6:$A$65,0)),"")</f>
        <v>0</v>
      </c>
      <c r="C58" s="7"/>
      <c r="D58" s="7"/>
      <c r="E58" s="7"/>
      <c r="F58" s="7"/>
      <c r="G58" s="7"/>
      <c r="H58" s="7"/>
      <c r="I58" s="12" t="str">
        <f aca="false">IF(A58="","",IF(OR(C58="",D58="",E58="",H58="",COUNTIF(C58:H58,"Prüfung offen")&gt;0,AND(E58&lt;&gt;"keiner",OR(F58="",AND(F58&lt;&gt;"Ja",G58="")))),"noch offen",IF(C58="Ja","VERBOTEN (Art. 5)",IF(AND(D58="Ja",E58&lt;&gt;"keiner"),"Hochrisiko Anhang I und Anhang III",IF(D58="Ja","Hochrisiko Anhang I",IF(E58&lt;&gt;"keiner",IF(F58="Ja","Hochrisiko Anhang III",IF(G58="Ja","Kein Hochrisiko (Art. 6 Abs. 3)","Hochrisiko Anhang III")),IF(H58&lt;&gt;"keiner","Transparenzpflicht (Art. 50)","Geringes Risiko")))))))</f>
        <v/>
      </c>
      <c r="J58" s="12" t="str">
        <f aca="false">IF(I58="","",IF(I58="VERBOTEN (Art. 5)","02.02.2025 (NCII/CSAM: 02.12.2026)",IF(I58="Hochrisiko Anhang I und Anhang III","02.12.2027 (Anhang III) / 02.08.2028 (Anhang I Abschn. A)",IF(I58="Hochrisiko Anhang I","02.08.2028 — nur Anhang I Abschnitt A; bei Abschnitt B (u. a. Maschinen) gilt Kapitel III nicht (Art. 2 Abs. 2 n. F.)",IF(I58="Hochrisiko Anhang III","02.12.2027",IF(I58="Transparenzpflicht (Art. 50)","02.08.2026",IF(I58="Kein Hochrisiko (Art. 6 Abs. 3)","Registrierung: 02.12.2027","—")))))))</f>
        <v/>
      </c>
      <c r="K58" s="12" t="str">
        <f aca="false">IF(I58="","",IF(I58="Kein Hochrisiko (Art. 6 Abs. 3)","Ja — Art. 49 Abs. 2 (Anbieter); Bewertung VOR Inverkehrbringen dokumentieren (Art. 6 Abs. 4)",IF(I58="Hochrisiko Anhang I","Nein — Art. 49 Abs. 1 gilt nur für Anhang III",IF(AND(LEFT(E58,1)="2",OR(I58="Hochrisiko Anhang III",I58="Hochrisiko Anhang I und Anhang III")),"Nein — Registrierung auf nationaler Ebene (Art. 49 Abs. 5)",IF(OR(I58="Hochrisiko Anhang III",I58="Hochrisiko Anhang I und Anhang III"),"Ja — Art. 49 Abs. 1 (Anbieter); Behörden als Betreiber: Art. 49 Abs. 3","Nein")))))</f>
        <v/>
      </c>
      <c r="L58" s="12" t="str">
        <f aca="false">IF(A58="","",IF(I58="VERBOTEN (Art. 5)","entfällt — Einsatz unzulässig",IF(AND(H58&lt;&gt;"",H58&lt;&gt;"keiner"),"Ja — Art. 50 gilt zusätzlich ab 02.08.2026","Nein")))</f>
        <v/>
      </c>
      <c r="M58" s="11"/>
      <c r="N58" s="13"/>
    </row>
    <row r="59" customFormat="false" ht="25.5" hidden="false" customHeight="true" outlineLevel="0" collapsed="false">
      <c r="A59" s="7"/>
      <c r="B59" s="12" t="n">
        <f aca="false">IFERROR(INDEX('01_KI-Inventar'!$B$6:$B$65,MATCH(A59,'01_KI-Inventar'!$A$6:$A$65,0)),"")</f>
        <v>0</v>
      </c>
      <c r="C59" s="7"/>
      <c r="D59" s="7"/>
      <c r="E59" s="7"/>
      <c r="F59" s="7"/>
      <c r="G59" s="7"/>
      <c r="H59" s="7"/>
      <c r="I59" s="12" t="str">
        <f aca="false">IF(A59="","",IF(OR(C59="",D59="",E59="",H59="",COUNTIF(C59:H59,"Prüfung offen")&gt;0,AND(E59&lt;&gt;"keiner",OR(F59="",AND(F59&lt;&gt;"Ja",G59="")))),"noch offen",IF(C59="Ja","VERBOTEN (Art. 5)",IF(AND(D59="Ja",E59&lt;&gt;"keiner"),"Hochrisiko Anhang I und Anhang III",IF(D59="Ja","Hochrisiko Anhang I",IF(E59&lt;&gt;"keiner",IF(F59="Ja","Hochrisiko Anhang III",IF(G59="Ja","Kein Hochrisiko (Art. 6 Abs. 3)","Hochrisiko Anhang III")),IF(H59&lt;&gt;"keiner","Transparenzpflicht (Art. 50)","Geringes Risiko")))))))</f>
        <v/>
      </c>
      <c r="J59" s="12" t="str">
        <f aca="false">IF(I59="","",IF(I59="VERBOTEN (Art. 5)","02.02.2025 (NCII/CSAM: 02.12.2026)",IF(I59="Hochrisiko Anhang I und Anhang III","02.12.2027 (Anhang III) / 02.08.2028 (Anhang I Abschn. A)",IF(I59="Hochrisiko Anhang I","02.08.2028 — nur Anhang I Abschnitt A; bei Abschnitt B (u. a. Maschinen) gilt Kapitel III nicht (Art. 2 Abs. 2 n. F.)",IF(I59="Hochrisiko Anhang III","02.12.2027",IF(I59="Transparenzpflicht (Art. 50)","02.08.2026",IF(I59="Kein Hochrisiko (Art. 6 Abs. 3)","Registrierung: 02.12.2027","—")))))))</f>
        <v/>
      </c>
      <c r="K59" s="12" t="str">
        <f aca="false">IF(I59="","",IF(I59="Kein Hochrisiko (Art. 6 Abs. 3)","Ja — Art. 49 Abs. 2 (Anbieter); Bewertung VOR Inverkehrbringen dokumentieren (Art. 6 Abs. 4)",IF(I59="Hochrisiko Anhang I","Nein — Art. 49 Abs. 1 gilt nur für Anhang III",IF(AND(LEFT(E59,1)="2",OR(I59="Hochrisiko Anhang III",I59="Hochrisiko Anhang I und Anhang III")),"Nein — Registrierung auf nationaler Ebene (Art. 49 Abs. 5)",IF(OR(I59="Hochrisiko Anhang III",I59="Hochrisiko Anhang I und Anhang III"),"Ja — Art. 49 Abs. 1 (Anbieter); Behörden als Betreiber: Art. 49 Abs. 3","Nein")))))</f>
        <v/>
      </c>
      <c r="L59" s="12" t="str">
        <f aca="false">IF(A59="","",IF(I59="VERBOTEN (Art. 5)","entfällt — Einsatz unzulässig",IF(AND(H59&lt;&gt;"",H59&lt;&gt;"keiner"),"Ja — Art. 50 gilt zusätzlich ab 02.08.2026","Nein")))</f>
        <v/>
      </c>
      <c r="M59" s="11"/>
      <c r="N59" s="13"/>
    </row>
    <row r="60" customFormat="false" ht="25.5" hidden="false" customHeight="true" outlineLevel="0" collapsed="false">
      <c r="A60" s="7"/>
      <c r="B60" s="12" t="n">
        <f aca="false">IFERROR(INDEX('01_KI-Inventar'!$B$6:$B$65,MATCH(A60,'01_KI-Inventar'!$A$6:$A$65,0)),"")</f>
        <v>0</v>
      </c>
      <c r="C60" s="7"/>
      <c r="D60" s="7"/>
      <c r="E60" s="7"/>
      <c r="F60" s="7"/>
      <c r="G60" s="7"/>
      <c r="H60" s="7"/>
      <c r="I60" s="12" t="str">
        <f aca="false">IF(A60="","",IF(OR(C60="",D60="",E60="",H60="",COUNTIF(C60:H60,"Prüfung offen")&gt;0,AND(E60&lt;&gt;"keiner",OR(F60="",AND(F60&lt;&gt;"Ja",G60="")))),"noch offen",IF(C60="Ja","VERBOTEN (Art. 5)",IF(AND(D60="Ja",E60&lt;&gt;"keiner"),"Hochrisiko Anhang I und Anhang III",IF(D60="Ja","Hochrisiko Anhang I",IF(E60&lt;&gt;"keiner",IF(F60="Ja","Hochrisiko Anhang III",IF(G60="Ja","Kein Hochrisiko (Art. 6 Abs. 3)","Hochrisiko Anhang III")),IF(H60&lt;&gt;"keiner","Transparenzpflicht (Art. 50)","Geringes Risiko")))))))</f>
        <v/>
      </c>
      <c r="J60" s="12" t="str">
        <f aca="false">IF(I60="","",IF(I60="VERBOTEN (Art. 5)","02.02.2025 (NCII/CSAM: 02.12.2026)",IF(I60="Hochrisiko Anhang I und Anhang III","02.12.2027 (Anhang III) / 02.08.2028 (Anhang I Abschn. A)",IF(I60="Hochrisiko Anhang I","02.08.2028 — nur Anhang I Abschnitt A; bei Abschnitt B (u. a. Maschinen) gilt Kapitel III nicht (Art. 2 Abs. 2 n. F.)",IF(I60="Hochrisiko Anhang III","02.12.2027",IF(I60="Transparenzpflicht (Art. 50)","02.08.2026",IF(I60="Kein Hochrisiko (Art. 6 Abs. 3)","Registrierung: 02.12.2027","—")))))))</f>
        <v/>
      </c>
      <c r="K60" s="12" t="str">
        <f aca="false">IF(I60="","",IF(I60="Kein Hochrisiko (Art. 6 Abs. 3)","Ja — Art. 49 Abs. 2 (Anbieter); Bewertung VOR Inverkehrbringen dokumentieren (Art. 6 Abs. 4)",IF(I60="Hochrisiko Anhang I","Nein — Art. 49 Abs. 1 gilt nur für Anhang III",IF(AND(LEFT(E60,1)="2",OR(I60="Hochrisiko Anhang III",I60="Hochrisiko Anhang I und Anhang III")),"Nein — Registrierung auf nationaler Ebene (Art. 49 Abs. 5)",IF(OR(I60="Hochrisiko Anhang III",I60="Hochrisiko Anhang I und Anhang III"),"Ja — Art. 49 Abs. 1 (Anbieter); Behörden als Betreiber: Art. 49 Abs. 3","Nein")))))</f>
        <v/>
      </c>
      <c r="L60" s="12" t="str">
        <f aca="false">IF(A60="","",IF(I60="VERBOTEN (Art. 5)","entfällt — Einsatz unzulässig",IF(AND(H60&lt;&gt;"",H60&lt;&gt;"keiner"),"Ja — Art. 50 gilt zusätzlich ab 02.08.2026","Nein")))</f>
        <v/>
      </c>
      <c r="M60" s="11"/>
      <c r="N60" s="13"/>
    </row>
    <row r="61" customFormat="false" ht="25.5" hidden="false" customHeight="true" outlineLevel="0" collapsed="false">
      <c r="A61" s="7"/>
      <c r="B61" s="12" t="n">
        <f aca="false">IFERROR(INDEX('01_KI-Inventar'!$B$6:$B$65,MATCH(A61,'01_KI-Inventar'!$A$6:$A$65,0)),"")</f>
        <v>0</v>
      </c>
      <c r="C61" s="7"/>
      <c r="D61" s="7"/>
      <c r="E61" s="7"/>
      <c r="F61" s="7"/>
      <c r="G61" s="7"/>
      <c r="H61" s="7"/>
      <c r="I61" s="12" t="str">
        <f aca="false">IF(A61="","",IF(OR(C61="",D61="",E61="",H61="",COUNTIF(C61:H61,"Prüfung offen")&gt;0,AND(E61&lt;&gt;"keiner",OR(F61="",AND(F61&lt;&gt;"Ja",G61="")))),"noch offen",IF(C61="Ja","VERBOTEN (Art. 5)",IF(AND(D61="Ja",E61&lt;&gt;"keiner"),"Hochrisiko Anhang I und Anhang III",IF(D61="Ja","Hochrisiko Anhang I",IF(E61&lt;&gt;"keiner",IF(F61="Ja","Hochrisiko Anhang III",IF(G61="Ja","Kein Hochrisiko (Art. 6 Abs. 3)","Hochrisiko Anhang III")),IF(H61&lt;&gt;"keiner","Transparenzpflicht (Art. 50)","Geringes Risiko")))))))</f>
        <v/>
      </c>
      <c r="J61" s="12" t="str">
        <f aca="false">IF(I61="","",IF(I61="VERBOTEN (Art. 5)","02.02.2025 (NCII/CSAM: 02.12.2026)",IF(I61="Hochrisiko Anhang I und Anhang III","02.12.2027 (Anhang III) / 02.08.2028 (Anhang I Abschn. A)",IF(I61="Hochrisiko Anhang I","02.08.2028 — nur Anhang I Abschnitt A; bei Abschnitt B (u. a. Maschinen) gilt Kapitel III nicht (Art. 2 Abs. 2 n. F.)",IF(I61="Hochrisiko Anhang III","02.12.2027",IF(I61="Transparenzpflicht (Art. 50)","02.08.2026",IF(I61="Kein Hochrisiko (Art. 6 Abs. 3)","Registrierung: 02.12.2027","—")))))))</f>
        <v/>
      </c>
      <c r="K61" s="12" t="str">
        <f aca="false">IF(I61="","",IF(I61="Kein Hochrisiko (Art. 6 Abs. 3)","Ja — Art. 49 Abs. 2 (Anbieter); Bewertung VOR Inverkehrbringen dokumentieren (Art. 6 Abs. 4)",IF(I61="Hochrisiko Anhang I","Nein — Art. 49 Abs. 1 gilt nur für Anhang III",IF(AND(LEFT(E61,1)="2",OR(I61="Hochrisiko Anhang III",I61="Hochrisiko Anhang I und Anhang III")),"Nein — Registrierung auf nationaler Ebene (Art. 49 Abs. 5)",IF(OR(I61="Hochrisiko Anhang III",I61="Hochrisiko Anhang I und Anhang III"),"Ja — Art. 49 Abs. 1 (Anbieter); Behörden als Betreiber: Art. 49 Abs. 3","Nein")))))</f>
        <v/>
      </c>
      <c r="L61" s="12" t="str">
        <f aca="false">IF(A61="","",IF(I61="VERBOTEN (Art. 5)","entfällt — Einsatz unzulässig",IF(AND(H61&lt;&gt;"",H61&lt;&gt;"keiner"),"Ja — Art. 50 gilt zusätzlich ab 02.08.2026","Nein")))</f>
        <v/>
      </c>
      <c r="M61" s="11"/>
      <c r="N61" s="13"/>
    </row>
    <row r="62" customFormat="false" ht="25.5" hidden="false" customHeight="true" outlineLevel="0" collapsed="false">
      <c r="A62" s="7"/>
      <c r="B62" s="12" t="n">
        <f aca="false">IFERROR(INDEX('01_KI-Inventar'!$B$6:$B$65,MATCH(A62,'01_KI-Inventar'!$A$6:$A$65,0)),"")</f>
        <v>0</v>
      </c>
      <c r="C62" s="7"/>
      <c r="D62" s="7"/>
      <c r="E62" s="7"/>
      <c r="F62" s="7"/>
      <c r="G62" s="7"/>
      <c r="H62" s="7"/>
      <c r="I62" s="12" t="str">
        <f aca="false">IF(A62="","",IF(OR(C62="",D62="",E62="",H62="",COUNTIF(C62:H62,"Prüfung offen")&gt;0,AND(E62&lt;&gt;"keiner",OR(F62="",AND(F62&lt;&gt;"Ja",G62="")))),"noch offen",IF(C62="Ja","VERBOTEN (Art. 5)",IF(AND(D62="Ja",E62&lt;&gt;"keiner"),"Hochrisiko Anhang I und Anhang III",IF(D62="Ja","Hochrisiko Anhang I",IF(E62&lt;&gt;"keiner",IF(F62="Ja","Hochrisiko Anhang III",IF(G62="Ja","Kein Hochrisiko (Art. 6 Abs. 3)","Hochrisiko Anhang III")),IF(H62&lt;&gt;"keiner","Transparenzpflicht (Art. 50)","Geringes Risiko")))))))</f>
        <v/>
      </c>
      <c r="J62" s="12" t="str">
        <f aca="false">IF(I62="","",IF(I62="VERBOTEN (Art. 5)","02.02.2025 (NCII/CSAM: 02.12.2026)",IF(I62="Hochrisiko Anhang I und Anhang III","02.12.2027 (Anhang III) / 02.08.2028 (Anhang I Abschn. A)",IF(I62="Hochrisiko Anhang I","02.08.2028 — nur Anhang I Abschnitt A; bei Abschnitt B (u. a. Maschinen) gilt Kapitel III nicht (Art. 2 Abs. 2 n. F.)",IF(I62="Hochrisiko Anhang III","02.12.2027",IF(I62="Transparenzpflicht (Art. 50)","02.08.2026",IF(I62="Kein Hochrisiko (Art. 6 Abs. 3)","Registrierung: 02.12.2027","—")))))))</f>
        <v/>
      </c>
      <c r="K62" s="12" t="str">
        <f aca="false">IF(I62="","",IF(I62="Kein Hochrisiko (Art. 6 Abs. 3)","Ja — Art. 49 Abs. 2 (Anbieter); Bewertung VOR Inverkehrbringen dokumentieren (Art. 6 Abs. 4)",IF(I62="Hochrisiko Anhang I","Nein — Art. 49 Abs. 1 gilt nur für Anhang III",IF(AND(LEFT(E62,1)="2",OR(I62="Hochrisiko Anhang III",I62="Hochrisiko Anhang I und Anhang III")),"Nein — Registrierung auf nationaler Ebene (Art. 49 Abs. 5)",IF(OR(I62="Hochrisiko Anhang III",I62="Hochrisiko Anhang I und Anhang III"),"Ja — Art. 49 Abs. 1 (Anbieter); Behörden als Betreiber: Art. 49 Abs. 3","Nein")))))</f>
        <v/>
      </c>
      <c r="L62" s="12" t="str">
        <f aca="false">IF(A62="","",IF(I62="VERBOTEN (Art. 5)","entfällt — Einsatz unzulässig",IF(AND(H62&lt;&gt;"",H62&lt;&gt;"keiner"),"Ja — Art. 50 gilt zusätzlich ab 02.08.2026","Nein")))</f>
        <v/>
      </c>
      <c r="M62" s="11"/>
      <c r="N62" s="13"/>
    </row>
    <row r="63" customFormat="false" ht="25.5" hidden="false" customHeight="true" outlineLevel="0" collapsed="false">
      <c r="A63" s="7"/>
      <c r="B63" s="12" t="n">
        <f aca="false">IFERROR(INDEX('01_KI-Inventar'!$B$6:$B$65,MATCH(A63,'01_KI-Inventar'!$A$6:$A$65,0)),"")</f>
        <v>0</v>
      </c>
      <c r="C63" s="7"/>
      <c r="D63" s="7"/>
      <c r="E63" s="7"/>
      <c r="F63" s="7"/>
      <c r="G63" s="7"/>
      <c r="H63" s="7"/>
      <c r="I63" s="12" t="str">
        <f aca="false">IF(A63="","",IF(OR(C63="",D63="",E63="",H63="",COUNTIF(C63:H63,"Prüfung offen")&gt;0,AND(E63&lt;&gt;"keiner",OR(F63="",AND(F63&lt;&gt;"Ja",G63="")))),"noch offen",IF(C63="Ja","VERBOTEN (Art. 5)",IF(AND(D63="Ja",E63&lt;&gt;"keiner"),"Hochrisiko Anhang I und Anhang III",IF(D63="Ja","Hochrisiko Anhang I",IF(E63&lt;&gt;"keiner",IF(F63="Ja","Hochrisiko Anhang III",IF(G63="Ja","Kein Hochrisiko (Art. 6 Abs. 3)","Hochrisiko Anhang III")),IF(H63&lt;&gt;"keiner","Transparenzpflicht (Art. 50)","Geringes Risiko")))))))</f>
        <v/>
      </c>
      <c r="J63" s="12" t="str">
        <f aca="false">IF(I63="","",IF(I63="VERBOTEN (Art. 5)","02.02.2025 (NCII/CSAM: 02.12.2026)",IF(I63="Hochrisiko Anhang I und Anhang III","02.12.2027 (Anhang III) / 02.08.2028 (Anhang I Abschn. A)",IF(I63="Hochrisiko Anhang I","02.08.2028 — nur Anhang I Abschnitt A; bei Abschnitt B (u. a. Maschinen) gilt Kapitel III nicht (Art. 2 Abs. 2 n. F.)",IF(I63="Hochrisiko Anhang III","02.12.2027",IF(I63="Transparenzpflicht (Art. 50)","02.08.2026",IF(I63="Kein Hochrisiko (Art. 6 Abs. 3)","Registrierung: 02.12.2027","—")))))))</f>
        <v/>
      </c>
      <c r="K63" s="12" t="str">
        <f aca="false">IF(I63="","",IF(I63="Kein Hochrisiko (Art. 6 Abs. 3)","Ja — Art. 49 Abs. 2 (Anbieter); Bewertung VOR Inverkehrbringen dokumentieren (Art. 6 Abs. 4)",IF(I63="Hochrisiko Anhang I","Nein — Art. 49 Abs. 1 gilt nur für Anhang III",IF(AND(LEFT(E63,1)="2",OR(I63="Hochrisiko Anhang III",I63="Hochrisiko Anhang I und Anhang III")),"Nein — Registrierung auf nationaler Ebene (Art. 49 Abs. 5)",IF(OR(I63="Hochrisiko Anhang III",I63="Hochrisiko Anhang I und Anhang III"),"Ja — Art. 49 Abs. 1 (Anbieter); Behörden als Betreiber: Art. 49 Abs. 3","Nein")))))</f>
        <v/>
      </c>
      <c r="L63" s="12" t="str">
        <f aca="false">IF(A63="","",IF(I63="VERBOTEN (Art. 5)","entfällt — Einsatz unzulässig",IF(AND(H63&lt;&gt;"",H63&lt;&gt;"keiner"),"Ja — Art. 50 gilt zusätzlich ab 02.08.2026","Nein")))</f>
        <v/>
      </c>
      <c r="M63" s="11"/>
      <c r="N63" s="13"/>
    </row>
    <row r="64" customFormat="false" ht="25.5" hidden="false" customHeight="true" outlineLevel="0" collapsed="false">
      <c r="A64" s="7"/>
      <c r="B64" s="12" t="n">
        <f aca="false">IFERROR(INDEX('01_KI-Inventar'!$B$6:$B$65,MATCH(A64,'01_KI-Inventar'!$A$6:$A$65,0)),"")</f>
        <v>0</v>
      </c>
      <c r="C64" s="7"/>
      <c r="D64" s="7"/>
      <c r="E64" s="7"/>
      <c r="F64" s="7"/>
      <c r="G64" s="7"/>
      <c r="H64" s="7"/>
      <c r="I64" s="12" t="str">
        <f aca="false">IF(A64="","",IF(OR(C64="",D64="",E64="",H64="",COUNTIF(C64:H64,"Prüfung offen")&gt;0,AND(E64&lt;&gt;"keiner",OR(F64="",AND(F64&lt;&gt;"Ja",G64="")))),"noch offen",IF(C64="Ja","VERBOTEN (Art. 5)",IF(AND(D64="Ja",E64&lt;&gt;"keiner"),"Hochrisiko Anhang I und Anhang III",IF(D64="Ja","Hochrisiko Anhang I",IF(E64&lt;&gt;"keiner",IF(F64="Ja","Hochrisiko Anhang III",IF(G64="Ja","Kein Hochrisiko (Art. 6 Abs. 3)","Hochrisiko Anhang III")),IF(H64&lt;&gt;"keiner","Transparenzpflicht (Art. 50)","Geringes Risiko")))))))</f>
        <v/>
      </c>
      <c r="J64" s="12" t="str">
        <f aca="false">IF(I64="","",IF(I64="VERBOTEN (Art. 5)","02.02.2025 (NCII/CSAM: 02.12.2026)",IF(I64="Hochrisiko Anhang I und Anhang III","02.12.2027 (Anhang III) / 02.08.2028 (Anhang I Abschn. A)",IF(I64="Hochrisiko Anhang I","02.08.2028 — nur Anhang I Abschnitt A; bei Abschnitt B (u. a. Maschinen) gilt Kapitel III nicht (Art. 2 Abs. 2 n. F.)",IF(I64="Hochrisiko Anhang III","02.12.2027",IF(I64="Transparenzpflicht (Art. 50)","02.08.2026",IF(I64="Kein Hochrisiko (Art. 6 Abs. 3)","Registrierung: 02.12.2027","—")))))))</f>
        <v/>
      </c>
      <c r="K64" s="12" t="str">
        <f aca="false">IF(I64="","",IF(I64="Kein Hochrisiko (Art. 6 Abs. 3)","Ja — Art. 49 Abs. 2 (Anbieter); Bewertung VOR Inverkehrbringen dokumentieren (Art. 6 Abs. 4)",IF(I64="Hochrisiko Anhang I","Nein — Art. 49 Abs. 1 gilt nur für Anhang III",IF(AND(LEFT(E64,1)="2",OR(I64="Hochrisiko Anhang III",I64="Hochrisiko Anhang I und Anhang III")),"Nein — Registrierung auf nationaler Ebene (Art. 49 Abs. 5)",IF(OR(I64="Hochrisiko Anhang III",I64="Hochrisiko Anhang I und Anhang III"),"Ja — Art. 49 Abs. 1 (Anbieter); Behörden als Betreiber: Art. 49 Abs. 3","Nein")))))</f>
        <v/>
      </c>
      <c r="L64" s="12" t="str">
        <f aca="false">IF(A64="","",IF(I64="VERBOTEN (Art. 5)","entfällt — Einsatz unzulässig",IF(AND(H64&lt;&gt;"",H64&lt;&gt;"keiner"),"Ja — Art. 50 gilt zusätzlich ab 02.08.2026","Nein")))</f>
        <v/>
      </c>
      <c r="M64" s="11"/>
      <c r="N64" s="13"/>
    </row>
    <row r="65" customFormat="false" ht="25.5" hidden="false" customHeight="true" outlineLevel="0" collapsed="false">
      <c r="A65" s="7"/>
      <c r="B65" s="12" t="n">
        <f aca="false">IFERROR(INDEX('01_KI-Inventar'!$B$6:$B$65,MATCH(A65,'01_KI-Inventar'!$A$6:$A$65,0)),"")</f>
        <v>0</v>
      </c>
      <c r="C65" s="7"/>
      <c r="D65" s="7"/>
      <c r="E65" s="7"/>
      <c r="F65" s="7"/>
      <c r="G65" s="7"/>
      <c r="H65" s="7"/>
      <c r="I65" s="12" t="str">
        <f aca="false">IF(A65="","",IF(OR(C65="",D65="",E65="",H65="",COUNTIF(C65:H65,"Prüfung offen")&gt;0,AND(E65&lt;&gt;"keiner",OR(F65="",AND(F65&lt;&gt;"Ja",G65="")))),"noch offen",IF(C65="Ja","VERBOTEN (Art. 5)",IF(AND(D65="Ja",E65&lt;&gt;"keiner"),"Hochrisiko Anhang I und Anhang III",IF(D65="Ja","Hochrisiko Anhang I",IF(E65&lt;&gt;"keiner",IF(F65="Ja","Hochrisiko Anhang III",IF(G65="Ja","Kein Hochrisiko (Art. 6 Abs. 3)","Hochrisiko Anhang III")),IF(H65&lt;&gt;"keiner","Transparenzpflicht (Art. 50)","Geringes Risiko")))))))</f>
        <v/>
      </c>
      <c r="J65" s="12" t="str">
        <f aca="false">IF(I65="","",IF(I65="VERBOTEN (Art. 5)","02.02.2025 (NCII/CSAM: 02.12.2026)",IF(I65="Hochrisiko Anhang I und Anhang III","02.12.2027 (Anhang III) / 02.08.2028 (Anhang I Abschn. A)",IF(I65="Hochrisiko Anhang I","02.08.2028 — nur Anhang I Abschnitt A; bei Abschnitt B (u. a. Maschinen) gilt Kapitel III nicht (Art. 2 Abs. 2 n. F.)",IF(I65="Hochrisiko Anhang III","02.12.2027",IF(I65="Transparenzpflicht (Art. 50)","02.08.2026",IF(I65="Kein Hochrisiko (Art. 6 Abs. 3)","Registrierung: 02.12.2027","—")))))))</f>
        <v/>
      </c>
      <c r="K65" s="12" t="str">
        <f aca="false">IF(I65="","",IF(I65="Kein Hochrisiko (Art. 6 Abs. 3)","Ja — Art. 49 Abs. 2 (Anbieter); Bewertung VOR Inverkehrbringen dokumentieren (Art. 6 Abs. 4)",IF(I65="Hochrisiko Anhang I","Nein — Art. 49 Abs. 1 gilt nur für Anhang III",IF(AND(LEFT(E65,1)="2",OR(I65="Hochrisiko Anhang III",I65="Hochrisiko Anhang I und Anhang III")),"Nein — Registrierung auf nationaler Ebene (Art. 49 Abs. 5)",IF(OR(I65="Hochrisiko Anhang III",I65="Hochrisiko Anhang I und Anhang III"),"Ja — Art. 49 Abs. 1 (Anbieter); Behörden als Betreiber: Art. 49 Abs. 3","Nein")))))</f>
        <v/>
      </c>
      <c r="L65" s="12" t="str">
        <f aca="false">IF(A65="","",IF(I65="VERBOTEN (Art. 5)","entfällt — Einsatz unzulässig",IF(AND(H65&lt;&gt;"",H65&lt;&gt;"keiner"),"Ja — Art. 50 gilt zusätzlich ab 02.08.2026","Nein")))</f>
        <v/>
      </c>
      <c r="M65" s="11"/>
      <c r="N65" s="13"/>
    </row>
  </sheetData>
  <mergeCells count="2">
    <mergeCell ref="A1:N1"/>
    <mergeCell ref="A2:N2"/>
  </mergeCells>
  <conditionalFormatting sqref="I6:I65">
    <cfRule type="cellIs" priority="2" operator="equal" aboveAverage="0" equalAverage="0" bottom="0" percent="0" rank="0" text="" dxfId="1">
      <formula>"VERBOTEN (Art. 5)"</formula>
    </cfRule>
    <cfRule type="cellIs" priority="3" operator="equal" aboveAverage="0" equalAverage="0" bottom="0" percent="0" rank="0" text="" dxfId="2">
      <formula>"Kein Hochrisiko (Art. 6 Abs. 3)"</formula>
    </cfRule>
    <cfRule type="expression" priority="4" aboveAverage="0" equalAverage="0" bottom="0" percent="0" rank="0" text="" dxfId="3">
      <formula>OR($I6="Hochrisiko Anhang I",$I6="Hochrisiko Anhang III",$I6="Hochrisiko Anhang I und Anhang III")</formula>
    </cfRule>
    <cfRule type="cellIs" priority="5" operator="equal" aboveAverage="0" equalAverage="0" bottom="0" percent="0" rank="0" text="" dxfId="4">
      <formula>"noch offen"</formula>
    </cfRule>
    <cfRule type="cellIs" priority="6" operator="equal" aboveAverage="0" equalAverage="0" bottom="0" percent="0" rank="0" text="" dxfId="5">
      <formula>"Geringes Risiko"</formula>
    </cfRule>
  </conditionalFormatting>
  <dataValidations count="7">
    <dataValidation allowBlank="true" error="Bitte einen Wert aus der Liste wählen. Freitext führt zu falschen Einstufungen." errorStyle="stop" errorTitle="Ungültige Eingabe" operator="between" showDropDown="false" showErrorMessage="true" showInputMessage="false" sqref="A6:A65" type="list">
      <formula1>'01_KI-Inventar'!$A$6:$A$65</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C6:C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D6:D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F6:F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G6:G65" type="list">
      <formula1>'08_Register'!$A$5:$A$7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E6:E65" type="list">
      <formula1>'08_Register'!$E$5:$E$13</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H6:H65" type="list">
      <formula1>'08_Register'!$F$5:$F$10</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58"/>
    <col collapsed="false" customWidth="true" hidden="false" outlineLevel="0" max="4" min="4" style="0" width="26"/>
    <col collapsed="false" customWidth="true" hidden="false" outlineLevel="0" max="5" min="5" style="0" width="20"/>
    <col collapsed="false" customWidth="true" hidden="false" outlineLevel="0" max="6" min="6" style="0" width="26"/>
    <col collapsed="false" customWidth="true" hidden="false" outlineLevel="0" max="7" min="7" style="0" width="18"/>
    <col collapsed="false" customWidth="true" hidden="false" outlineLevel="0" max="8" min="8" style="0" width="15"/>
    <col collapsed="false" customWidth="true" hidden="false" outlineLevel="0" max="9" min="9" style="0" width="14"/>
    <col collapsed="false" customWidth="true" hidden="false" outlineLevel="0" max="10" min="10" style="0" width="20"/>
    <col collapsed="false" customWidth="true" hidden="false" outlineLevel="0" max="11" min="11" style="0" width="13"/>
    <col collapsed="false" customWidth="true" hidden="false" outlineLevel="0" max="12" min="12" style="0" width="28"/>
    <col collapsed="false" customWidth="true" hidden="false" outlineLevel="0" max="13" min="13" style="0" width="30"/>
    <col collapsed="false" customWidth="true" hidden="false" outlineLevel="0" max="14" min="14" style="0" width="13"/>
  </cols>
  <sheetData>
    <row r="1" customFormat="false" ht="24" hidden="false" customHeight="true" outlineLevel="0" collapsed="false">
      <c r="A1" s="1" t="s">
        <v>112</v>
      </c>
      <c r="B1" s="1"/>
      <c r="C1" s="1"/>
      <c r="D1" s="1"/>
      <c r="E1" s="1"/>
      <c r="F1" s="1"/>
      <c r="G1" s="1"/>
      <c r="H1" s="1"/>
      <c r="I1" s="1"/>
      <c r="J1" s="1"/>
      <c r="K1" s="1"/>
      <c r="L1" s="1"/>
      <c r="M1" s="1"/>
      <c r="N1" s="1"/>
    </row>
    <row r="2" customFormat="false" ht="15" hidden="false" customHeight="false" outlineLevel="0" collapsed="false">
      <c r="A2" s="2" t="s">
        <v>113</v>
      </c>
      <c r="B2" s="2"/>
      <c r="C2" s="2"/>
      <c r="D2" s="2"/>
      <c r="E2" s="2"/>
      <c r="F2" s="2"/>
      <c r="G2" s="2"/>
      <c r="H2" s="2"/>
      <c r="I2" s="2"/>
      <c r="J2" s="2"/>
      <c r="K2" s="2"/>
      <c r="L2" s="2"/>
      <c r="M2" s="2"/>
      <c r="N2" s="2"/>
    </row>
    <row r="5" customFormat="false" ht="43.5" hidden="false" customHeight="true" outlineLevel="0" collapsed="false">
      <c r="A5" s="9" t="s">
        <v>114</v>
      </c>
      <c r="B5" s="9" t="s">
        <v>115</v>
      </c>
      <c r="C5" s="9" t="s">
        <v>116</v>
      </c>
      <c r="D5" s="9" t="s">
        <v>117</v>
      </c>
      <c r="E5" s="9" t="s">
        <v>118</v>
      </c>
      <c r="F5" s="9" t="s">
        <v>119</v>
      </c>
      <c r="G5" s="9" t="s">
        <v>120</v>
      </c>
      <c r="H5" s="9" t="s">
        <v>121</v>
      </c>
      <c r="I5" s="9" t="s">
        <v>122</v>
      </c>
      <c r="J5" s="9" t="s">
        <v>123</v>
      </c>
      <c r="K5" s="9" t="s">
        <v>124</v>
      </c>
      <c r="L5" s="9" t="s">
        <v>125</v>
      </c>
      <c r="M5" s="9" t="s">
        <v>69</v>
      </c>
      <c r="N5" s="9" t="s">
        <v>126</v>
      </c>
    </row>
    <row r="6" customFormat="false" ht="30" hidden="false" customHeight="true" outlineLevel="0" collapsed="false">
      <c r="A6" s="14" t="s">
        <v>127</v>
      </c>
      <c r="B6" s="14" t="s">
        <v>128</v>
      </c>
      <c r="C6" s="14" t="s">
        <v>129</v>
      </c>
      <c r="D6" s="14" t="s">
        <v>130</v>
      </c>
      <c r="E6" s="14" t="s">
        <v>131</v>
      </c>
      <c r="F6" s="14" t="s">
        <v>132</v>
      </c>
      <c r="G6" s="14" t="s">
        <v>133</v>
      </c>
      <c r="H6" s="7"/>
      <c r="I6" s="7"/>
      <c r="J6" s="11"/>
      <c r="K6" s="13"/>
      <c r="L6" s="11"/>
      <c r="M6" s="11"/>
      <c r="N6" s="15" t="str">
        <f aca="false">IF(H6="Nein","n. a.",IF(I6="erfüllt","grün",IF(I6="nicht anwendbar","n. a.",IF(I6="in Arbeit","gelb","rot"))))</f>
        <v>rot</v>
      </c>
    </row>
    <row r="7" customFormat="false" ht="30" hidden="false" customHeight="true" outlineLevel="0" collapsed="false">
      <c r="A7" s="14" t="s">
        <v>134</v>
      </c>
      <c r="B7" s="14" t="s">
        <v>128</v>
      </c>
      <c r="C7" s="14" t="s">
        <v>135</v>
      </c>
      <c r="D7" s="14" t="s">
        <v>130</v>
      </c>
      <c r="E7" s="14" t="s">
        <v>131</v>
      </c>
      <c r="F7" s="14" t="s">
        <v>132</v>
      </c>
      <c r="G7" s="14" t="s">
        <v>133</v>
      </c>
      <c r="H7" s="7"/>
      <c r="I7" s="7"/>
      <c r="J7" s="11"/>
      <c r="K7" s="13"/>
      <c r="L7" s="11"/>
      <c r="M7" s="11"/>
      <c r="N7" s="15" t="str">
        <f aca="false">IF(H7="Nein","n. a.",IF(I7="erfüllt","grün",IF(I7="nicht anwendbar","n. a.",IF(I7="in Arbeit","gelb","rot"))))</f>
        <v>rot</v>
      </c>
    </row>
    <row r="8" customFormat="false" ht="30" hidden="false" customHeight="true" outlineLevel="0" collapsed="false">
      <c r="A8" s="14" t="s">
        <v>136</v>
      </c>
      <c r="B8" s="14" t="s">
        <v>128</v>
      </c>
      <c r="C8" s="14" t="s">
        <v>137</v>
      </c>
      <c r="D8" s="14" t="s">
        <v>130</v>
      </c>
      <c r="E8" s="14" t="s">
        <v>131</v>
      </c>
      <c r="F8" s="14" t="s">
        <v>132</v>
      </c>
      <c r="G8" s="14" t="s">
        <v>138</v>
      </c>
      <c r="H8" s="7"/>
      <c r="I8" s="7"/>
      <c r="J8" s="11"/>
      <c r="K8" s="13"/>
      <c r="L8" s="11"/>
      <c r="M8" s="11"/>
      <c r="N8" s="15" t="str">
        <f aca="false">IF(H8="Nein","n. a.",IF(I8="erfüllt","grün",IF(I8="nicht anwendbar","n. a.",IF(I8="in Arbeit","gelb","rot"))))</f>
        <v>rot</v>
      </c>
    </row>
    <row r="9" customFormat="false" ht="30" hidden="false" customHeight="true" outlineLevel="0" collapsed="false">
      <c r="A9" s="14" t="s">
        <v>139</v>
      </c>
      <c r="B9" s="14" t="s">
        <v>140</v>
      </c>
      <c r="C9" s="14" t="s">
        <v>141</v>
      </c>
      <c r="D9" s="14" t="s">
        <v>142</v>
      </c>
      <c r="E9" s="14" t="s">
        <v>132</v>
      </c>
      <c r="F9" s="14" t="s">
        <v>132</v>
      </c>
      <c r="G9" s="14" t="s">
        <v>133</v>
      </c>
      <c r="H9" s="7"/>
      <c r="I9" s="7"/>
      <c r="J9" s="11"/>
      <c r="K9" s="13"/>
      <c r="L9" s="11"/>
      <c r="M9" s="11"/>
      <c r="N9" s="15" t="str">
        <f aca="false">IF(H9="Nein","n. a.",IF(I9="erfüllt","grün",IF(I9="nicht anwendbar","n. a.",IF(I9="in Arbeit","gelb","rot"))))</f>
        <v>rot</v>
      </c>
    </row>
    <row r="10" customFormat="false" ht="30" hidden="false" customHeight="true" outlineLevel="0" collapsed="false">
      <c r="A10" s="14" t="s">
        <v>143</v>
      </c>
      <c r="B10" s="14" t="s">
        <v>140</v>
      </c>
      <c r="C10" s="14" t="s">
        <v>144</v>
      </c>
      <c r="D10" s="14" t="s">
        <v>145</v>
      </c>
      <c r="E10" s="14" t="s">
        <v>132</v>
      </c>
      <c r="F10" s="14" t="s">
        <v>132</v>
      </c>
      <c r="G10" s="14" t="s">
        <v>133</v>
      </c>
      <c r="H10" s="7"/>
      <c r="I10" s="7"/>
      <c r="J10" s="11"/>
      <c r="K10" s="13"/>
      <c r="L10" s="11"/>
      <c r="M10" s="11"/>
      <c r="N10" s="15" t="str">
        <f aca="false">IF(H10="Nein","n. a.",IF(I10="erfüllt","grün",IF(I10="nicht anwendbar","n. a.",IF(I10="in Arbeit","gelb","rot"))))</f>
        <v>rot</v>
      </c>
    </row>
    <row r="11" customFormat="false" ht="30" hidden="false" customHeight="true" outlineLevel="0" collapsed="false">
      <c r="A11" s="14" t="s">
        <v>146</v>
      </c>
      <c r="B11" s="14" t="s">
        <v>140</v>
      </c>
      <c r="C11" s="14" t="s">
        <v>147</v>
      </c>
      <c r="D11" s="14" t="s">
        <v>148</v>
      </c>
      <c r="E11" s="14" t="s">
        <v>132</v>
      </c>
      <c r="F11" s="14" t="s">
        <v>132</v>
      </c>
      <c r="G11" s="14" t="s">
        <v>133</v>
      </c>
      <c r="H11" s="7"/>
      <c r="I11" s="7"/>
      <c r="J11" s="11"/>
      <c r="K11" s="13"/>
      <c r="L11" s="11"/>
      <c r="M11" s="11"/>
      <c r="N11" s="15" t="str">
        <f aca="false">IF(H11="Nein","n. a.",IF(I11="erfüllt","grün",IF(I11="nicht anwendbar","n. a.",IF(I11="in Arbeit","gelb","rot"))))</f>
        <v>rot</v>
      </c>
    </row>
    <row r="12" customFormat="false" ht="30" hidden="false" customHeight="true" outlineLevel="0" collapsed="false">
      <c r="A12" s="14" t="s">
        <v>149</v>
      </c>
      <c r="B12" s="14" t="s">
        <v>140</v>
      </c>
      <c r="C12" s="14" t="s">
        <v>150</v>
      </c>
      <c r="D12" s="14" t="s">
        <v>151</v>
      </c>
      <c r="E12" s="14" t="s">
        <v>132</v>
      </c>
      <c r="F12" s="14" t="s">
        <v>132</v>
      </c>
      <c r="G12" s="14" t="s">
        <v>133</v>
      </c>
      <c r="H12" s="7"/>
      <c r="I12" s="7"/>
      <c r="J12" s="11"/>
      <c r="K12" s="13"/>
      <c r="L12" s="11"/>
      <c r="M12" s="11"/>
      <c r="N12" s="15" t="str">
        <f aca="false">IF(H12="Nein","n. a.",IF(I12="erfüllt","grün",IF(I12="nicht anwendbar","n. a.",IF(I12="in Arbeit","gelb","rot"))))</f>
        <v>rot</v>
      </c>
    </row>
    <row r="13" customFormat="false" ht="30" hidden="false" customHeight="true" outlineLevel="0" collapsed="false">
      <c r="A13" s="14" t="s">
        <v>152</v>
      </c>
      <c r="B13" s="14" t="s">
        <v>140</v>
      </c>
      <c r="C13" s="14" t="s">
        <v>153</v>
      </c>
      <c r="D13" s="14" t="s">
        <v>154</v>
      </c>
      <c r="E13" s="14" t="s">
        <v>132</v>
      </c>
      <c r="F13" s="14" t="s">
        <v>132</v>
      </c>
      <c r="G13" s="14" t="s">
        <v>133</v>
      </c>
      <c r="H13" s="7"/>
      <c r="I13" s="7"/>
      <c r="J13" s="11"/>
      <c r="K13" s="13"/>
      <c r="L13" s="11"/>
      <c r="M13" s="11"/>
      <c r="N13" s="15" t="str">
        <f aca="false">IF(H13="Nein","n. a.",IF(I13="erfüllt","grün",IF(I13="nicht anwendbar","n. a.",IF(I13="in Arbeit","gelb","rot"))))</f>
        <v>rot</v>
      </c>
    </row>
    <row r="14" customFormat="false" ht="30" hidden="false" customHeight="true" outlineLevel="0" collapsed="false">
      <c r="A14" s="14" t="s">
        <v>155</v>
      </c>
      <c r="B14" s="14" t="s">
        <v>140</v>
      </c>
      <c r="C14" s="14" t="s">
        <v>156</v>
      </c>
      <c r="D14" s="14" t="s">
        <v>157</v>
      </c>
      <c r="E14" s="14" t="s">
        <v>132</v>
      </c>
      <c r="F14" s="14" t="s">
        <v>132</v>
      </c>
      <c r="G14" s="14" t="s">
        <v>133</v>
      </c>
      <c r="H14" s="7"/>
      <c r="I14" s="7"/>
      <c r="J14" s="11"/>
      <c r="K14" s="13"/>
      <c r="L14" s="11"/>
      <c r="M14" s="11"/>
      <c r="N14" s="15" t="str">
        <f aca="false">IF(H14="Nein","n. a.",IF(I14="erfüllt","grün",IF(I14="nicht anwendbar","n. a.",IF(I14="in Arbeit","gelb","rot"))))</f>
        <v>rot</v>
      </c>
    </row>
    <row r="15" customFormat="false" ht="30" hidden="false" customHeight="true" outlineLevel="0" collapsed="false">
      <c r="A15" s="14" t="s">
        <v>158</v>
      </c>
      <c r="B15" s="14" t="s">
        <v>140</v>
      </c>
      <c r="C15" s="14" t="s">
        <v>159</v>
      </c>
      <c r="D15" s="14" t="s">
        <v>160</v>
      </c>
      <c r="E15" s="14" t="s">
        <v>132</v>
      </c>
      <c r="F15" s="14" t="s">
        <v>132</v>
      </c>
      <c r="G15" s="14" t="s">
        <v>133</v>
      </c>
      <c r="H15" s="7"/>
      <c r="I15" s="7"/>
      <c r="J15" s="11"/>
      <c r="K15" s="13"/>
      <c r="L15" s="11"/>
      <c r="M15" s="11"/>
      <c r="N15" s="15" t="str">
        <f aca="false">IF(H15="Nein","n. a.",IF(I15="erfüllt","grün",IF(I15="nicht anwendbar","n. a.",IF(I15="in Arbeit","gelb","rot"))))</f>
        <v>rot</v>
      </c>
    </row>
    <row r="16" customFormat="false" ht="30" hidden="false" customHeight="true" outlineLevel="0" collapsed="false">
      <c r="A16" s="14" t="s">
        <v>161</v>
      </c>
      <c r="B16" s="14" t="s">
        <v>140</v>
      </c>
      <c r="C16" s="14" t="s">
        <v>162</v>
      </c>
      <c r="D16" s="14" t="s">
        <v>163</v>
      </c>
      <c r="E16" s="14" t="s">
        <v>132</v>
      </c>
      <c r="F16" s="14" t="s">
        <v>132</v>
      </c>
      <c r="G16" s="14" t="s">
        <v>133</v>
      </c>
      <c r="H16" s="7"/>
      <c r="I16" s="7"/>
      <c r="J16" s="11"/>
      <c r="K16" s="13"/>
      <c r="L16" s="11"/>
      <c r="M16" s="11"/>
      <c r="N16" s="15" t="str">
        <f aca="false">IF(H16="Nein","n. a.",IF(I16="erfüllt","grün",IF(I16="nicht anwendbar","n. a.",IF(I16="in Arbeit","gelb","rot"))))</f>
        <v>rot</v>
      </c>
    </row>
    <row r="17" customFormat="false" ht="30" hidden="false" customHeight="true" outlineLevel="0" collapsed="false">
      <c r="A17" s="14" t="s">
        <v>164</v>
      </c>
      <c r="B17" s="14" t="s">
        <v>140</v>
      </c>
      <c r="C17" s="14" t="s">
        <v>165</v>
      </c>
      <c r="D17" s="14" t="s">
        <v>166</v>
      </c>
      <c r="E17" s="14" t="s">
        <v>132</v>
      </c>
      <c r="F17" s="14" t="s">
        <v>132</v>
      </c>
      <c r="G17" s="14" t="s">
        <v>38</v>
      </c>
      <c r="H17" s="7"/>
      <c r="I17" s="7"/>
      <c r="J17" s="11"/>
      <c r="K17" s="13"/>
      <c r="L17" s="11"/>
      <c r="M17" s="11"/>
      <c r="N17" s="15" t="str">
        <f aca="false">IF(H17="Nein","n. a.",IF(I17="erfüllt","grün",IF(I17="nicht anwendbar","n. a.",IF(I17="in Arbeit","gelb","rot"))))</f>
        <v>rot</v>
      </c>
    </row>
    <row r="18" customFormat="false" ht="30" hidden="false" customHeight="true" outlineLevel="0" collapsed="false">
      <c r="A18" s="14" t="s">
        <v>167</v>
      </c>
      <c r="B18" s="14" t="s">
        <v>140</v>
      </c>
      <c r="C18" s="14" t="s">
        <v>168</v>
      </c>
      <c r="D18" s="14" t="s">
        <v>169</v>
      </c>
      <c r="E18" s="14" t="s">
        <v>132</v>
      </c>
      <c r="F18" s="14" t="s">
        <v>132</v>
      </c>
      <c r="G18" s="14" t="s">
        <v>38</v>
      </c>
      <c r="H18" s="7"/>
      <c r="I18" s="7"/>
      <c r="J18" s="11"/>
      <c r="K18" s="13"/>
      <c r="L18" s="11"/>
      <c r="M18" s="11"/>
      <c r="N18" s="15" t="str">
        <f aca="false">IF(H18="Nein","n. a.",IF(I18="erfüllt","grün",IF(I18="nicht anwendbar","n. a.",IF(I18="in Arbeit","gelb","rot"))))</f>
        <v>rot</v>
      </c>
    </row>
    <row r="19" customFormat="false" ht="30" hidden="false" customHeight="true" outlineLevel="0" collapsed="false">
      <c r="A19" s="14" t="s">
        <v>170</v>
      </c>
      <c r="B19" s="14" t="s">
        <v>140</v>
      </c>
      <c r="C19" s="14" t="s">
        <v>171</v>
      </c>
      <c r="D19" s="14" t="s">
        <v>172</v>
      </c>
      <c r="E19" s="14" t="s">
        <v>173</v>
      </c>
      <c r="F19" s="14" t="s">
        <v>132</v>
      </c>
      <c r="G19" s="14" t="s">
        <v>38</v>
      </c>
      <c r="H19" s="7"/>
      <c r="I19" s="7"/>
      <c r="J19" s="11"/>
      <c r="K19" s="13"/>
      <c r="L19" s="11"/>
      <c r="M19" s="11"/>
      <c r="N19" s="15" t="str">
        <f aca="false">IF(H19="Nein","n. a.",IF(I19="erfüllt","grün",IF(I19="nicht anwendbar","n. a.",IF(I19="in Arbeit","gelb","rot"))))</f>
        <v>rot</v>
      </c>
    </row>
    <row r="20" customFormat="false" ht="30" hidden="false" customHeight="true" outlineLevel="0" collapsed="false">
      <c r="A20" s="14" t="s">
        <v>174</v>
      </c>
      <c r="B20" s="14" t="s">
        <v>175</v>
      </c>
      <c r="C20" s="14" t="s">
        <v>176</v>
      </c>
      <c r="D20" s="14" t="s">
        <v>177</v>
      </c>
      <c r="E20" s="14" t="s">
        <v>173</v>
      </c>
      <c r="F20" s="14" t="s">
        <v>132</v>
      </c>
      <c r="G20" s="14" t="s">
        <v>36</v>
      </c>
      <c r="H20" s="7"/>
      <c r="I20" s="7"/>
      <c r="J20" s="11"/>
      <c r="K20" s="13"/>
      <c r="L20" s="11"/>
      <c r="M20" s="11"/>
      <c r="N20" s="15" t="str">
        <f aca="false">IF(H20="Nein","n. a.",IF(I20="erfüllt","grün",IF(I20="nicht anwendbar","n. a.",IF(I20="in Arbeit","gelb","rot"))))</f>
        <v>rot</v>
      </c>
    </row>
    <row r="21" customFormat="false" ht="30" hidden="false" customHeight="true" outlineLevel="0" collapsed="false">
      <c r="A21" s="14" t="s">
        <v>178</v>
      </c>
      <c r="B21" s="14" t="s">
        <v>175</v>
      </c>
      <c r="C21" s="14" t="s">
        <v>179</v>
      </c>
      <c r="D21" s="14" t="s">
        <v>180</v>
      </c>
      <c r="E21" s="14" t="s">
        <v>173</v>
      </c>
      <c r="F21" s="14" t="s">
        <v>132</v>
      </c>
      <c r="G21" s="14" t="s">
        <v>36</v>
      </c>
      <c r="H21" s="7"/>
      <c r="I21" s="7"/>
      <c r="J21" s="11"/>
      <c r="K21" s="13"/>
      <c r="L21" s="11"/>
      <c r="M21" s="11"/>
      <c r="N21" s="15" t="str">
        <f aca="false">IF(H21="Nein","n. a.",IF(I21="erfüllt","grün",IF(I21="nicht anwendbar","n. a.",IF(I21="in Arbeit","gelb","rot"))))</f>
        <v>rot</v>
      </c>
    </row>
    <row r="22" customFormat="false" ht="30" hidden="false" customHeight="true" outlineLevel="0" collapsed="false">
      <c r="A22" s="14" t="s">
        <v>181</v>
      </c>
      <c r="B22" s="14" t="s">
        <v>175</v>
      </c>
      <c r="C22" s="14" t="s">
        <v>182</v>
      </c>
      <c r="D22" s="14" t="s">
        <v>183</v>
      </c>
      <c r="E22" s="14" t="s">
        <v>173</v>
      </c>
      <c r="F22" s="14" t="s">
        <v>132</v>
      </c>
      <c r="G22" s="14" t="s">
        <v>38</v>
      </c>
      <c r="H22" s="7"/>
      <c r="I22" s="7"/>
      <c r="J22" s="11"/>
      <c r="K22" s="13"/>
      <c r="L22" s="11"/>
      <c r="M22" s="11"/>
      <c r="N22" s="15" t="str">
        <f aca="false">IF(H22="Nein","n. a.",IF(I22="erfüllt","grün",IF(I22="nicht anwendbar","n. a.",IF(I22="in Arbeit","gelb","rot"))))</f>
        <v>rot</v>
      </c>
    </row>
    <row r="23" customFormat="false" ht="30" hidden="false" customHeight="true" outlineLevel="0" collapsed="false">
      <c r="A23" s="14" t="s">
        <v>184</v>
      </c>
      <c r="B23" s="14" t="s">
        <v>175</v>
      </c>
      <c r="C23" s="14" t="s">
        <v>185</v>
      </c>
      <c r="D23" s="14" t="s">
        <v>186</v>
      </c>
      <c r="E23" s="14" t="s">
        <v>187</v>
      </c>
      <c r="F23" s="14" t="s">
        <v>132</v>
      </c>
      <c r="G23" s="14" t="s">
        <v>36</v>
      </c>
      <c r="H23" s="7"/>
      <c r="I23" s="7"/>
      <c r="J23" s="11"/>
      <c r="K23" s="13"/>
      <c r="L23" s="11"/>
      <c r="M23" s="11"/>
      <c r="N23" s="15" t="str">
        <f aca="false">IF(H23="Nein","n. a.",IF(I23="erfüllt","grün",IF(I23="nicht anwendbar","n. a.",IF(I23="in Arbeit","gelb","rot"))))</f>
        <v>rot</v>
      </c>
    </row>
    <row r="24" customFormat="false" ht="30" hidden="false" customHeight="true" outlineLevel="0" collapsed="false">
      <c r="A24" s="14" t="s">
        <v>188</v>
      </c>
      <c r="B24" s="14" t="s">
        <v>175</v>
      </c>
      <c r="C24" s="14" t="s">
        <v>189</v>
      </c>
      <c r="D24" s="14" t="s">
        <v>190</v>
      </c>
      <c r="E24" s="14" t="s">
        <v>187</v>
      </c>
      <c r="F24" s="14" t="s">
        <v>132</v>
      </c>
      <c r="G24" s="14" t="s">
        <v>36</v>
      </c>
      <c r="H24" s="7"/>
      <c r="I24" s="7"/>
      <c r="J24" s="11"/>
      <c r="K24" s="13"/>
      <c r="L24" s="11"/>
      <c r="M24" s="11"/>
      <c r="N24" s="15" t="str">
        <f aca="false">IF(H24="Nein","n. a.",IF(I24="erfüllt","grün",IF(I24="nicht anwendbar","n. a.",IF(I24="in Arbeit","gelb","rot"))))</f>
        <v>rot</v>
      </c>
    </row>
    <row r="25" customFormat="false" ht="30" hidden="false" customHeight="true" outlineLevel="0" collapsed="false">
      <c r="A25" s="14" t="s">
        <v>191</v>
      </c>
      <c r="B25" s="14" t="s">
        <v>175</v>
      </c>
      <c r="C25" s="14" t="s">
        <v>192</v>
      </c>
      <c r="D25" s="14" t="s">
        <v>193</v>
      </c>
      <c r="E25" s="14" t="s">
        <v>187</v>
      </c>
      <c r="F25" s="14" t="s">
        <v>132</v>
      </c>
      <c r="G25" s="14" t="s">
        <v>36</v>
      </c>
      <c r="H25" s="7"/>
      <c r="I25" s="7"/>
      <c r="J25" s="11"/>
      <c r="K25" s="13"/>
      <c r="L25" s="11"/>
      <c r="M25" s="11"/>
      <c r="N25" s="15" t="str">
        <f aca="false">IF(H25="Nein","n. a.",IF(I25="erfüllt","grün",IF(I25="nicht anwendbar","n. a.",IF(I25="in Arbeit","gelb","rot"))))</f>
        <v>rot</v>
      </c>
    </row>
    <row r="26" customFormat="false" ht="30" hidden="false" customHeight="true" outlineLevel="0" collapsed="false">
      <c r="A26" s="14" t="s">
        <v>194</v>
      </c>
      <c r="B26" s="14" t="s">
        <v>175</v>
      </c>
      <c r="C26" s="14" t="s">
        <v>195</v>
      </c>
      <c r="D26" s="14" t="s">
        <v>196</v>
      </c>
      <c r="E26" s="14" t="s">
        <v>131</v>
      </c>
      <c r="F26" s="14" t="s">
        <v>132</v>
      </c>
      <c r="G26" s="14" t="s">
        <v>36</v>
      </c>
      <c r="H26" s="7"/>
      <c r="I26" s="7"/>
      <c r="J26" s="11"/>
      <c r="K26" s="13"/>
      <c r="L26" s="11"/>
      <c r="M26" s="11"/>
      <c r="N26" s="15" t="str">
        <f aca="false">IF(H26="Nein","n. a.",IF(I26="erfüllt","grün",IF(I26="nicht anwendbar","n. a.",IF(I26="in Arbeit","gelb","rot"))))</f>
        <v>rot</v>
      </c>
    </row>
    <row r="27" customFormat="false" ht="30" hidden="false" customHeight="true" outlineLevel="0" collapsed="false">
      <c r="A27" s="14" t="s">
        <v>197</v>
      </c>
      <c r="B27" s="14" t="s">
        <v>198</v>
      </c>
      <c r="C27" s="14" t="s">
        <v>199</v>
      </c>
      <c r="D27" s="14" t="s">
        <v>200</v>
      </c>
      <c r="E27" s="14" t="s">
        <v>132</v>
      </c>
      <c r="F27" s="14" t="s">
        <v>132</v>
      </c>
      <c r="G27" s="14" t="s">
        <v>138</v>
      </c>
      <c r="H27" s="7"/>
      <c r="I27" s="7"/>
      <c r="J27" s="11"/>
      <c r="K27" s="13"/>
      <c r="L27" s="11"/>
      <c r="M27" s="11"/>
      <c r="N27" s="15" t="str">
        <f aca="false">IF(H27="Nein","n. a.",IF(I27="erfüllt","grün",IF(I27="nicht anwendbar","n. a.",IF(I27="in Arbeit","gelb","rot"))))</f>
        <v>rot</v>
      </c>
    </row>
    <row r="28" customFormat="false" ht="30" hidden="false" customHeight="true" outlineLevel="0" collapsed="false">
      <c r="A28" s="14" t="s">
        <v>201</v>
      </c>
      <c r="B28" s="14" t="s">
        <v>198</v>
      </c>
      <c r="C28" s="14" t="s">
        <v>202</v>
      </c>
      <c r="D28" s="14" t="s">
        <v>203</v>
      </c>
      <c r="E28" s="14" t="s">
        <v>132</v>
      </c>
      <c r="F28" s="14" t="s">
        <v>132</v>
      </c>
      <c r="G28" s="14" t="s">
        <v>138</v>
      </c>
      <c r="H28" s="7"/>
      <c r="I28" s="7"/>
      <c r="J28" s="11"/>
      <c r="K28" s="13"/>
      <c r="L28" s="11"/>
      <c r="M28" s="11"/>
      <c r="N28" s="15" t="str">
        <f aca="false">IF(H28="Nein","n. a.",IF(I28="erfüllt","grün",IF(I28="nicht anwendbar","n. a.",IF(I28="in Arbeit","gelb","rot"))))</f>
        <v>rot</v>
      </c>
    </row>
    <row r="29" customFormat="false" ht="30" hidden="false" customHeight="true" outlineLevel="0" collapsed="false">
      <c r="A29" s="14" t="s">
        <v>204</v>
      </c>
      <c r="B29" s="14" t="s">
        <v>198</v>
      </c>
      <c r="C29" s="14" t="s">
        <v>205</v>
      </c>
      <c r="D29" s="14" t="s">
        <v>206</v>
      </c>
      <c r="E29" s="14" t="s">
        <v>132</v>
      </c>
      <c r="F29" s="14" t="s">
        <v>132</v>
      </c>
      <c r="G29" s="14" t="s">
        <v>138</v>
      </c>
      <c r="H29" s="7"/>
      <c r="I29" s="7"/>
      <c r="J29" s="11"/>
      <c r="K29" s="13"/>
      <c r="L29" s="11"/>
      <c r="M29" s="11"/>
      <c r="N29" s="15" t="str">
        <f aca="false">IF(H29="Nein","n. a.",IF(I29="erfüllt","grün",IF(I29="nicht anwendbar","n. a.",IF(I29="in Arbeit","gelb","rot"))))</f>
        <v>rot</v>
      </c>
    </row>
    <row r="30" customFormat="false" ht="30" hidden="false" customHeight="true" outlineLevel="0" collapsed="false">
      <c r="A30" s="14" t="s">
        <v>207</v>
      </c>
      <c r="B30" s="14" t="s">
        <v>198</v>
      </c>
      <c r="C30" s="14" t="s">
        <v>208</v>
      </c>
      <c r="D30" s="14" t="s">
        <v>209</v>
      </c>
      <c r="E30" s="14" t="s">
        <v>132</v>
      </c>
      <c r="F30" s="14" t="s">
        <v>132</v>
      </c>
      <c r="G30" s="14" t="s">
        <v>138</v>
      </c>
      <c r="H30" s="7"/>
      <c r="I30" s="7"/>
      <c r="J30" s="11"/>
      <c r="K30" s="13"/>
      <c r="L30" s="11"/>
      <c r="M30" s="11"/>
      <c r="N30" s="15" t="str">
        <f aca="false">IF(H30="Nein","n. a.",IF(I30="erfüllt","grün",IF(I30="nicht anwendbar","n. a.",IF(I30="in Arbeit","gelb","rot"))))</f>
        <v>rot</v>
      </c>
    </row>
    <row r="31" customFormat="false" ht="30" hidden="false" customHeight="true" outlineLevel="0" collapsed="false">
      <c r="A31" s="14" t="s">
        <v>210</v>
      </c>
      <c r="B31" s="14" t="s">
        <v>198</v>
      </c>
      <c r="C31" s="14" t="s">
        <v>211</v>
      </c>
      <c r="D31" s="14" t="s">
        <v>212</v>
      </c>
      <c r="E31" s="14" t="s">
        <v>187</v>
      </c>
      <c r="F31" s="14" t="s">
        <v>132</v>
      </c>
      <c r="G31" s="14" t="s">
        <v>213</v>
      </c>
      <c r="H31" s="7"/>
      <c r="I31" s="7"/>
      <c r="J31" s="11"/>
      <c r="K31" s="13"/>
      <c r="L31" s="11"/>
      <c r="M31" s="11"/>
      <c r="N31" s="15" t="str">
        <f aca="false">IF(H31="Nein","n. a.",IF(I31="erfüllt","grün",IF(I31="nicht anwendbar","n. a.",IF(I31="in Arbeit","gelb","rot"))))</f>
        <v>rot</v>
      </c>
    </row>
    <row r="32" customFormat="false" ht="30" hidden="false" customHeight="true" outlineLevel="0" collapsed="false">
      <c r="A32" s="14" t="s">
        <v>214</v>
      </c>
      <c r="B32" s="14" t="s">
        <v>198</v>
      </c>
      <c r="C32" s="14" t="s">
        <v>215</v>
      </c>
      <c r="D32" s="14" t="s">
        <v>216</v>
      </c>
      <c r="E32" s="14" t="s">
        <v>132</v>
      </c>
      <c r="F32" s="14" t="s">
        <v>132</v>
      </c>
      <c r="G32" s="14" t="s">
        <v>36</v>
      </c>
      <c r="H32" s="7"/>
      <c r="I32" s="7"/>
      <c r="J32" s="11"/>
      <c r="K32" s="13"/>
      <c r="L32" s="11"/>
      <c r="M32" s="11"/>
      <c r="N32" s="15" t="str">
        <f aca="false">IF(H32="Nein","n. a.",IF(I32="erfüllt","grün",IF(I32="nicht anwendbar","n. a.",IF(I32="in Arbeit","gelb","rot"))))</f>
        <v>rot</v>
      </c>
    </row>
    <row r="33" customFormat="false" ht="30" hidden="false" customHeight="true" outlineLevel="0" collapsed="false">
      <c r="A33" s="14" t="s">
        <v>217</v>
      </c>
      <c r="B33" s="14" t="s">
        <v>198</v>
      </c>
      <c r="C33" s="14" t="s">
        <v>218</v>
      </c>
      <c r="D33" s="14" t="s">
        <v>219</v>
      </c>
      <c r="E33" s="14" t="s">
        <v>220</v>
      </c>
      <c r="F33" s="14" t="s">
        <v>221</v>
      </c>
      <c r="G33" s="14" t="s">
        <v>222</v>
      </c>
      <c r="H33" s="7"/>
      <c r="I33" s="7"/>
      <c r="J33" s="11"/>
      <c r="K33" s="13"/>
      <c r="L33" s="11"/>
      <c r="M33" s="11"/>
      <c r="N33" s="15" t="str">
        <f aca="false">IF(H33="Nein","n. a.",IF(I33="erfüllt","grün",IF(I33="nicht anwendbar","n. a.",IF(I33="in Arbeit","gelb","rot"))))</f>
        <v>rot</v>
      </c>
    </row>
    <row r="34" customFormat="false" ht="30" hidden="false" customHeight="true" outlineLevel="0" collapsed="false">
      <c r="A34" s="14" t="s">
        <v>223</v>
      </c>
      <c r="B34" s="14" t="s">
        <v>198</v>
      </c>
      <c r="C34" s="14" t="s">
        <v>224</v>
      </c>
      <c r="D34" s="14" t="s">
        <v>225</v>
      </c>
      <c r="E34" s="14" t="s">
        <v>132</v>
      </c>
      <c r="F34" s="14" t="s">
        <v>221</v>
      </c>
      <c r="G34" s="14" t="s">
        <v>138</v>
      </c>
      <c r="H34" s="7"/>
      <c r="I34" s="7"/>
      <c r="J34" s="11"/>
      <c r="K34" s="13"/>
      <c r="L34" s="11"/>
      <c r="M34" s="11"/>
      <c r="N34" s="15" t="str">
        <f aca="false">IF(H34="Nein","n. a.",IF(I34="erfüllt","grün",IF(I34="nicht anwendbar","n. a.",IF(I34="in Arbeit","gelb","rot"))))</f>
        <v>rot</v>
      </c>
    </row>
    <row r="35" customFormat="false" ht="30" hidden="false" customHeight="true" outlineLevel="0" collapsed="false">
      <c r="A35" s="14" t="s">
        <v>226</v>
      </c>
      <c r="B35" s="14" t="s">
        <v>227</v>
      </c>
      <c r="C35" s="14" t="s">
        <v>228</v>
      </c>
      <c r="D35" s="14" t="s">
        <v>229</v>
      </c>
      <c r="E35" s="14" t="s">
        <v>131</v>
      </c>
      <c r="F35" s="14" t="s">
        <v>132</v>
      </c>
      <c r="G35" s="14" t="s">
        <v>36</v>
      </c>
      <c r="H35" s="7"/>
      <c r="I35" s="7"/>
      <c r="J35" s="11"/>
      <c r="K35" s="13"/>
      <c r="L35" s="11"/>
      <c r="M35" s="11"/>
      <c r="N35" s="15" t="str">
        <f aca="false">IF(H35="Nein","n. a.",IF(I35="erfüllt","grün",IF(I35="nicht anwendbar","n. a.",IF(I35="in Arbeit","gelb","rot"))))</f>
        <v>rot</v>
      </c>
    </row>
    <row r="36" customFormat="false" ht="30" hidden="false" customHeight="true" outlineLevel="0" collapsed="false">
      <c r="A36" s="14" t="s">
        <v>230</v>
      </c>
      <c r="B36" s="14" t="s">
        <v>187</v>
      </c>
      <c r="C36" s="14" t="s">
        <v>231</v>
      </c>
      <c r="D36" s="14" t="s">
        <v>232</v>
      </c>
      <c r="E36" s="14" t="s">
        <v>187</v>
      </c>
      <c r="F36" s="14" t="s">
        <v>221</v>
      </c>
      <c r="G36" s="14" t="s">
        <v>222</v>
      </c>
      <c r="H36" s="7"/>
      <c r="I36" s="7"/>
      <c r="J36" s="11"/>
      <c r="K36" s="13"/>
      <c r="L36" s="11"/>
      <c r="M36" s="11"/>
      <c r="N36" s="15" t="str">
        <f aca="false">IF(H36="Nein","n. a.",IF(I36="erfüllt","grün",IF(I36="nicht anwendbar","n. a.",IF(I36="in Arbeit","gelb","rot"))))</f>
        <v>rot</v>
      </c>
    </row>
    <row r="37" customFormat="false" ht="30" hidden="false" customHeight="true" outlineLevel="0" collapsed="false">
      <c r="A37" s="14" t="s">
        <v>233</v>
      </c>
      <c r="B37" s="14" t="s">
        <v>187</v>
      </c>
      <c r="C37" s="14" t="s">
        <v>234</v>
      </c>
      <c r="D37" s="14" t="s">
        <v>235</v>
      </c>
      <c r="E37" s="14" t="s">
        <v>187</v>
      </c>
      <c r="F37" s="14" t="s">
        <v>221</v>
      </c>
      <c r="G37" s="14" t="s">
        <v>222</v>
      </c>
      <c r="H37" s="7"/>
      <c r="I37" s="7"/>
      <c r="J37" s="11"/>
      <c r="K37" s="13"/>
      <c r="L37" s="11"/>
      <c r="M37" s="11"/>
      <c r="N37" s="15" t="str">
        <f aca="false">IF(H37="Nein","n. a.",IF(I37="erfüllt","grün",IF(I37="nicht anwendbar","n. a.",IF(I37="in Arbeit","gelb","rot"))))</f>
        <v>rot</v>
      </c>
    </row>
    <row r="38" customFormat="false" ht="30" hidden="false" customHeight="true" outlineLevel="0" collapsed="false">
      <c r="A38" s="14" t="s">
        <v>236</v>
      </c>
      <c r="B38" s="14" t="s">
        <v>187</v>
      </c>
      <c r="C38" s="14" t="s">
        <v>237</v>
      </c>
      <c r="D38" s="14" t="s">
        <v>235</v>
      </c>
      <c r="E38" s="14" t="s">
        <v>187</v>
      </c>
      <c r="F38" s="14" t="s">
        <v>221</v>
      </c>
      <c r="G38" s="14" t="s">
        <v>222</v>
      </c>
      <c r="H38" s="7"/>
      <c r="I38" s="7"/>
      <c r="J38" s="11"/>
      <c r="K38" s="13"/>
      <c r="L38" s="11"/>
      <c r="M38" s="11"/>
      <c r="N38" s="15" t="str">
        <f aca="false">IF(H38="Nein","n. a.",IF(I38="erfüllt","grün",IF(I38="nicht anwendbar","n. a.",IF(I38="in Arbeit","gelb","rot"))))</f>
        <v>rot</v>
      </c>
    </row>
    <row r="39" customFormat="false" ht="30" hidden="false" customHeight="true" outlineLevel="0" collapsed="false">
      <c r="A39" s="14" t="s">
        <v>238</v>
      </c>
      <c r="B39" s="14" t="s">
        <v>187</v>
      </c>
      <c r="C39" s="14" t="s">
        <v>239</v>
      </c>
      <c r="D39" s="14" t="s">
        <v>240</v>
      </c>
      <c r="E39" s="14" t="s">
        <v>187</v>
      </c>
      <c r="F39" s="14" t="s">
        <v>221</v>
      </c>
      <c r="G39" s="14" t="s">
        <v>222</v>
      </c>
      <c r="H39" s="7"/>
      <c r="I39" s="7"/>
      <c r="J39" s="11"/>
      <c r="K39" s="13"/>
      <c r="L39" s="11"/>
      <c r="M39" s="11"/>
      <c r="N39" s="15" t="str">
        <f aca="false">IF(H39="Nein","n. a.",IF(I39="erfüllt","grün",IF(I39="nicht anwendbar","n. a.",IF(I39="in Arbeit","gelb","rot"))))</f>
        <v>rot</v>
      </c>
    </row>
    <row r="40" customFormat="false" ht="30" hidden="false" customHeight="true" outlineLevel="0" collapsed="false">
      <c r="A40" s="14" t="s">
        <v>241</v>
      </c>
      <c r="B40" s="14" t="s">
        <v>187</v>
      </c>
      <c r="C40" s="14" t="s">
        <v>242</v>
      </c>
      <c r="D40" s="14" t="s">
        <v>243</v>
      </c>
      <c r="E40" s="14" t="s">
        <v>187</v>
      </c>
      <c r="F40" s="14" t="s">
        <v>221</v>
      </c>
      <c r="G40" s="14" t="s">
        <v>222</v>
      </c>
      <c r="H40" s="7"/>
      <c r="I40" s="7"/>
      <c r="J40" s="11"/>
      <c r="K40" s="13"/>
      <c r="L40" s="11"/>
      <c r="M40" s="11"/>
      <c r="N40" s="15" t="str">
        <f aca="false">IF(H40="Nein","n. a.",IF(I40="erfüllt","grün",IF(I40="nicht anwendbar","n. a.",IF(I40="in Arbeit","gelb","rot"))))</f>
        <v>rot</v>
      </c>
    </row>
    <row r="41" customFormat="false" ht="30" hidden="false" customHeight="true" outlineLevel="0" collapsed="false">
      <c r="A41" s="14" t="s">
        <v>244</v>
      </c>
      <c r="B41" s="14" t="s">
        <v>187</v>
      </c>
      <c r="C41" s="14" t="s">
        <v>245</v>
      </c>
      <c r="D41" s="14" t="s">
        <v>246</v>
      </c>
      <c r="E41" s="14" t="s">
        <v>187</v>
      </c>
      <c r="F41" s="14" t="s">
        <v>221</v>
      </c>
      <c r="G41" s="14" t="s">
        <v>222</v>
      </c>
      <c r="H41" s="7"/>
      <c r="I41" s="7"/>
      <c r="J41" s="11"/>
      <c r="K41" s="13"/>
      <c r="L41" s="11"/>
      <c r="M41" s="11"/>
      <c r="N41" s="15" t="str">
        <f aca="false">IF(H41="Nein","n. a.",IF(I41="erfüllt","grün",IF(I41="nicht anwendbar","n. a.",IF(I41="in Arbeit","gelb","rot"))))</f>
        <v>rot</v>
      </c>
    </row>
    <row r="42" customFormat="false" ht="30" hidden="false" customHeight="true" outlineLevel="0" collapsed="false">
      <c r="A42" s="14" t="s">
        <v>247</v>
      </c>
      <c r="B42" s="14" t="s">
        <v>187</v>
      </c>
      <c r="C42" s="14" t="s">
        <v>248</v>
      </c>
      <c r="D42" s="14" t="s">
        <v>249</v>
      </c>
      <c r="E42" s="14" t="s">
        <v>187</v>
      </c>
      <c r="F42" s="14" t="s">
        <v>221</v>
      </c>
      <c r="G42" s="14" t="s">
        <v>222</v>
      </c>
      <c r="H42" s="7"/>
      <c r="I42" s="7"/>
      <c r="J42" s="11"/>
      <c r="K42" s="13"/>
      <c r="L42" s="11"/>
      <c r="M42" s="11"/>
      <c r="N42" s="15" t="str">
        <f aca="false">IF(H42="Nein","n. a.",IF(I42="erfüllt","grün",IF(I42="nicht anwendbar","n. a.",IF(I42="in Arbeit","gelb","rot"))))</f>
        <v>rot</v>
      </c>
    </row>
    <row r="43" customFormat="false" ht="30" hidden="false" customHeight="true" outlineLevel="0" collapsed="false">
      <c r="A43" s="14" t="s">
        <v>250</v>
      </c>
      <c r="B43" s="14" t="s">
        <v>187</v>
      </c>
      <c r="C43" s="14" t="s">
        <v>251</v>
      </c>
      <c r="D43" s="14" t="s">
        <v>252</v>
      </c>
      <c r="E43" s="14" t="s">
        <v>187</v>
      </c>
      <c r="F43" s="14" t="s">
        <v>221</v>
      </c>
      <c r="G43" s="14" t="s">
        <v>222</v>
      </c>
      <c r="H43" s="7"/>
      <c r="I43" s="7"/>
      <c r="J43" s="11"/>
      <c r="K43" s="13"/>
      <c r="L43" s="11"/>
      <c r="M43" s="11"/>
      <c r="N43" s="15" t="str">
        <f aca="false">IF(H43="Nein","n. a.",IF(I43="erfüllt","grün",IF(I43="nicht anwendbar","n. a.",IF(I43="in Arbeit","gelb","rot"))))</f>
        <v>rot</v>
      </c>
    </row>
    <row r="44" customFormat="false" ht="30" hidden="false" customHeight="true" outlineLevel="0" collapsed="false">
      <c r="A44" s="14" t="s">
        <v>253</v>
      </c>
      <c r="B44" s="14" t="s">
        <v>187</v>
      </c>
      <c r="C44" s="14" t="s">
        <v>254</v>
      </c>
      <c r="D44" s="14" t="s">
        <v>255</v>
      </c>
      <c r="E44" s="14" t="s">
        <v>187</v>
      </c>
      <c r="F44" s="14" t="s">
        <v>221</v>
      </c>
      <c r="G44" s="14" t="s">
        <v>222</v>
      </c>
      <c r="H44" s="7"/>
      <c r="I44" s="7"/>
      <c r="J44" s="11"/>
      <c r="K44" s="13"/>
      <c r="L44" s="11"/>
      <c r="M44" s="11"/>
      <c r="N44" s="15" t="str">
        <f aca="false">IF(H44="Nein","n. a.",IF(I44="erfüllt","grün",IF(I44="nicht anwendbar","n. a.",IF(I44="in Arbeit","gelb","rot"))))</f>
        <v>rot</v>
      </c>
    </row>
    <row r="45" customFormat="false" ht="30" hidden="false" customHeight="true" outlineLevel="0" collapsed="false">
      <c r="A45" s="14" t="s">
        <v>256</v>
      </c>
      <c r="B45" s="14" t="s">
        <v>187</v>
      </c>
      <c r="C45" s="14" t="s">
        <v>257</v>
      </c>
      <c r="D45" s="14" t="s">
        <v>258</v>
      </c>
      <c r="E45" s="14" t="s">
        <v>187</v>
      </c>
      <c r="F45" s="14" t="s">
        <v>221</v>
      </c>
      <c r="G45" s="14" t="s">
        <v>222</v>
      </c>
      <c r="H45" s="7"/>
      <c r="I45" s="7"/>
      <c r="J45" s="11"/>
      <c r="K45" s="13"/>
      <c r="L45" s="11"/>
      <c r="M45" s="11"/>
      <c r="N45" s="15" t="str">
        <f aca="false">IF(H45="Nein","n. a.",IF(I45="erfüllt","grün",IF(I45="nicht anwendbar","n. a.",IF(I45="in Arbeit","gelb","rot"))))</f>
        <v>rot</v>
      </c>
    </row>
    <row r="46" customFormat="false" ht="30" hidden="false" customHeight="true" outlineLevel="0" collapsed="false">
      <c r="A46" s="14" t="s">
        <v>259</v>
      </c>
      <c r="B46" s="14" t="s">
        <v>187</v>
      </c>
      <c r="C46" s="14" t="s">
        <v>260</v>
      </c>
      <c r="D46" s="14" t="s">
        <v>261</v>
      </c>
      <c r="E46" s="14" t="s">
        <v>187</v>
      </c>
      <c r="F46" s="14" t="s">
        <v>221</v>
      </c>
      <c r="G46" s="14" t="s">
        <v>222</v>
      </c>
      <c r="H46" s="7"/>
      <c r="I46" s="7"/>
      <c r="J46" s="11"/>
      <c r="K46" s="13"/>
      <c r="L46" s="11"/>
      <c r="M46" s="11"/>
      <c r="N46" s="15" t="str">
        <f aca="false">IF(H46="Nein","n. a.",IF(I46="erfüllt","grün",IF(I46="nicht anwendbar","n. a.",IF(I46="in Arbeit","gelb","rot"))))</f>
        <v>rot</v>
      </c>
    </row>
    <row r="47" customFormat="false" ht="30" hidden="false" customHeight="true" outlineLevel="0" collapsed="false">
      <c r="A47" s="14" t="s">
        <v>262</v>
      </c>
      <c r="B47" s="14" t="s">
        <v>187</v>
      </c>
      <c r="C47" s="14" t="s">
        <v>263</v>
      </c>
      <c r="D47" s="14" t="s">
        <v>264</v>
      </c>
      <c r="E47" s="14" t="s">
        <v>187</v>
      </c>
      <c r="F47" s="14" t="s">
        <v>265</v>
      </c>
      <c r="G47" s="14" t="s">
        <v>40</v>
      </c>
      <c r="H47" s="7"/>
      <c r="I47" s="7"/>
      <c r="J47" s="11"/>
      <c r="K47" s="13"/>
      <c r="L47" s="11"/>
      <c r="M47" s="11"/>
      <c r="N47" s="15" t="str">
        <f aca="false">IF(H47="Nein","n. a.",IF(I47="erfüllt","grün",IF(I47="nicht anwendbar","n. a.",IF(I47="in Arbeit","gelb","rot"))))</f>
        <v>rot</v>
      </c>
    </row>
    <row r="48" customFormat="false" ht="30" hidden="false" customHeight="true" outlineLevel="0" collapsed="false">
      <c r="A48" s="14" t="s">
        <v>266</v>
      </c>
      <c r="B48" s="14" t="s">
        <v>187</v>
      </c>
      <c r="C48" s="14" t="s">
        <v>267</v>
      </c>
      <c r="D48" s="14" t="s">
        <v>268</v>
      </c>
      <c r="E48" s="14" t="s">
        <v>187</v>
      </c>
      <c r="F48" s="14" t="s">
        <v>221</v>
      </c>
      <c r="G48" s="14" t="s">
        <v>222</v>
      </c>
      <c r="H48" s="7"/>
      <c r="I48" s="7"/>
      <c r="J48" s="11"/>
      <c r="K48" s="13"/>
      <c r="L48" s="11"/>
      <c r="M48" s="11"/>
      <c r="N48" s="15" t="str">
        <f aca="false">IF(H48="Nein","n. a.",IF(I48="erfüllt","grün",IF(I48="nicht anwendbar","n. a.",IF(I48="in Arbeit","gelb","rot"))))</f>
        <v>rot</v>
      </c>
    </row>
    <row r="49" customFormat="false" ht="30" hidden="false" customHeight="true" outlineLevel="0" collapsed="false">
      <c r="A49" s="14" t="s">
        <v>269</v>
      </c>
      <c r="B49" s="14" t="s">
        <v>187</v>
      </c>
      <c r="C49" s="14" t="s">
        <v>270</v>
      </c>
      <c r="D49" s="14" t="s">
        <v>271</v>
      </c>
      <c r="E49" s="14" t="s">
        <v>187</v>
      </c>
      <c r="F49" s="14" t="s">
        <v>272</v>
      </c>
      <c r="G49" s="14" t="s">
        <v>273</v>
      </c>
      <c r="H49" s="7"/>
      <c r="I49" s="7"/>
      <c r="J49" s="11"/>
      <c r="K49" s="13"/>
      <c r="L49" s="11"/>
      <c r="M49" s="11"/>
      <c r="N49" s="15" t="str">
        <f aca="false">IF(H49="Nein","n. a.",IF(I49="erfüllt","grün",IF(I49="nicht anwendbar","n. a.",IF(I49="in Arbeit","gelb","rot"))))</f>
        <v>rot</v>
      </c>
    </row>
    <row r="50" customFormat="false" ht="30" hidden="false" customHeight="true" outlineLevel="0" collapsed="false">
      <c r="A50" s="14" t="s">
        <v>274</v>
      </c>
      <c r="B50" s="14" t="s">
        <v>187</v>
      </c>
      <c r="C50" s="14" t="s">
        <v>275</v>
      </c>
      <c r="D50" s="14" t="s">
        <v>276</v>
      </c>
      <c r="E50" s="14" t="s">
        <v>187</v>
      </c>
      <c r="F50" s="14" t="s">
        <v>265</v>
      </c>
      <c r="G50" s="14" t="s">
        <v>40</v>
      </c>
      <c r="H50" s="7"/>
      <c r="I50" s="7"/>
      <c r="J50" s="11"/>
      <c r="K50" s="13"/>
      <c r="L50" s="11"/>
      <c r="M50" s="11"/>
      <c r="N50" s="15" t="str">
        <f aca="false">IF(H50="Nein","n. a.",IF(I50="erfüllt","grün",IF(I50="nicht anwendbar","n. a.",IF(I50="in Arbeit","gelb","rot"))))</f>
        <v>rot</v>
      </c>
    </row>
    <row r="51" customFormat="false" ht="30" hidden="false" customHeight="true" outlineLevel="0" collapsed="false">
      <c r="A51" s="14" t="s">
        <v>277</v>
      </c>
      <c r="B51" s="14" t="s">
        <v>278</v>
      </c>
      <c r="C51" s="14" t="s">
        <v>279</v>
      </c>
      <c r="D51" s="14" t="s">
        <v>280</v>
      </c>
      <c r="E51" s="14" t="s">
        <v>187</v>
      </c>
      <c r="F51" s="14" t="s">
        <v>265</v>
      </c>
      <c r="G51" s="14" t="s">
        <v>281</v>
      </c>
      <c r="H51" s="7"/>
      <c r="I51" s="7"/>
      <c r="J51" s="11"/>
      <c r="K51" s="13"/>
      <c r="L51" s="11"/>
      <c r="M51" s="11"/>
      <c r="N51" s="15" t="str">
        <f aca="false">IF(H51="Nein","n. a.",IF(I51="erfüllt","grün",IF(I51="nicht anwendbar","n. a.",IF(I51="in Arbeit","gelb","rot"))))</f>
        <v>rot</v>
      </c>
    </row>
    <row r="52" customFormat="false" ht="30" hidden="false" customHeight="true" outlineLevel="0" collapsed="false">
      <c r="A52" s="14" t="s">
        <v>282</v>
      </c>
      <c r="B52" s="14" t="s">
        <v>278</v>
      </c>
      <c r="C52" s="14" t="s">
        <v>283</v>
      </c>
      <c r="D52" s="14" t="s">
        <v>284</v>
      </c>
      <c r="E52" s="14" t="s">
        <v>187</v>
      </c>
      <c r="F52" s="14" t="s">
        <v>265</v>
      </c>
      <c r="G52" s="14" t="s">
        <v>281</v>
      </c>
      <c r="H52" s="7"/>
      <c r="I52" s="7"/>
      <c r="J52" s="11"/>
      <c r="K52" s="13"/>
      <c r="L52" s="11"/>
      <c r="M52" s="11"/>
      <c r="N52" s="15" t="str">
        <f aca="false">IF(H52="Nein","n. a.",IF(I52="erfüllt","grün",IF(I52="nicht anwendbar","n. a.",IF(I52="in Arbeit","gelb","rot"))))</f>
        <v>rot</v>
      </c>
    </row>
    <row r="53" customFormat="false" ht="30" hidden="false" customHeight="true" outlineLevel="0" collapsed="false">
      <c r="A53" s="14" t="s">
        <v>285</v>
      </c>
      <c r="B53" s="14" t="s">
        <v>278</v>
      </c>
      <c r="C53" s="14" t="s">
        <v>286</v>
      </c>
      <c r="D53" s="14" t="s">
        <v>287</v>
      </c>
      <c r="E53" s="14" t="s">
        <v>187</v>
      </c>
      <c r="F53" s="14" t="s">
        <v>265</v>
      </c>
      <c r="G53" s="14" t="s">
        <v>288</v>
      </c>
      <c r="H53" s="7"/>
      <c r="I53" s="7"/>
      <c r="J53" s="11"/>
      <c r="K53" s="13"/>
      <c r="L53" s="11"/>
      <c r="M53" s="11"/>
      <c r="N53" s="15" t="str">
        <f aca="false">IF(H53="Nein","n. a.",IF(I53="erfüllt","grün",IF(I53="nicht anwendbar","n. a.",IF(I53="in Arbeit","gelb","rot"))))</f>
        <v>rot</v>
      </c>
    </row>
    <row r="54" customFormat="false" ht="30" hidden="false" customHeight="true" outlineLevel="0" collapsed="false">
      <c r="A54" s="14" t="s">
        <v>289</v>
      </c>
      <c r="B54" s="14" t="s">
        <v>278</v>
      </c>
      <c r="C54" s="14" t="s">
        <v>290</v>
      </c>
      <c r="D54" s="14" t="s">
        <v>291</v>
      </c>
      <c r="E54" s="14" t="s">
        <v>187</v>
      </c>
      <c r="F54" s="14" t="s">
        <v>265</v>
      </c>
      <c r="G54" s="14" t="s">
        <v>138</v>
      </c>
      <c r="H54" s="7"/>
      <c r="I54" s="7"/>
      <c r="J54" s="11"/>
      <c r="K54" s="13"/>
      <c r="L54" s="11"/>
      <c r="M54" s="11"/>
      <c r="N54" s="15" t="str">
        <f aca="false">IF(H54="Nein","n. a.",IF(I54="erfüllt","grün",IF(I54="nicht anwendbar","n. a.",IF(I54="in Arbeit","gelb","rot"))))</f>
        <v>rot</v>
      </c>
    </row>
    <row r="55" customFormat="false" ht="30" hidden="false" customHeight="true" outlineLevel="0" collapsed="false">
      <c r="A55" s="14" t="s">
        <v>292</v>
      </c>
      <c r="B55" s="14" t="s">
        <v>173</v>
      </c>
      <c r="C55" s="14" t="s">
        <v>293</v>
      </c>
      <c r="D55" s="14" t="s">
        <v>294</v>
      </c>
      <c r="E55" s="14" t="s">
        <v>173</v>
      </c>
      <c r="F55" s="14" t="s">
        <v>221</v>
      </c>
      <c r="G55" s="14" t="s">
        <v>222</v>
      </c>
      <c r="H55" s="7"/>
      <c r="I55" s="7"/>
      <c r="J55" s="11"/>
      <c r="K55" s="13"/>
      <c r="L55" s="11"/>
      <c r="M55" s="11"/>
      <c r="N55" s="15" t="str">
        <f aca="false">IF(H55="Nein","n. a.",IF(I55="erfüllt","grün",IF(I55="nicht anwendbar","n. a.",IF(I55="in Arbeit","gelb","rot"))))</f>
        <v>rot</v>
      </c>
    </row>
    <row r="56" customFormat="false" ht="30" hidden="false" customHeight="true" outlineLevel="0" collapsed="false">
      <c r="A56" s="14" t="s">
        <v>295</v>
      </c>
      <c r="B56" s="14" t="s">
        <v>173</v>
      </c>
      <c r="C56" s="14" t="s">
        <v>296</v>
      </c>
      <c r="D56" s="14" t="s">
        <v>297</v>
      </c>
      <c r="E56" s="14" t="s">
        <v>173</v>
      </c>
      <c r="F56" s="14" t="s">
        <v>221</v>
      </c>
      <c r="G56" s="14" t="s">
        <v>222</v>
      </c>
      <c r="H56" s="7"/>
      <c r="I56" s="7"/>
      <c r="J56" s="11"/>
      <c r="K56" s="13"/>
      <c r="L56" s="11"/>
      <c r="M56" s="11"/>
      <c r="N56" s="15" t="str">
        <f aca="false">IF(H56="Nein","n. a.",IF(I56="erfüllt","grün",IF(I56="nicht anwendbar","n. a.",IF(I56="in Arbeit","gelb","rot"))))</f>
        <v>rot</v>
      </c>
    </row>
    <row r="57" customFormat="false" ht="30" hidden="false" customHeight="true" outlineLevel="0" collapsed="false">
      <c r="A57" s="14" t="s">
        <v>298</v>
      </c>
      <c r="B57" s="14" t="s">
        <v>173</v>
      </c>
      <c r="C57" s="14" t="s">
        <v>299</v>
      </c>
      <c r="D57" s="14" t="s">
        <v>300</v>
      </c>
      <c r="E57" s="14" t="s">
        <v>173</v>
      </c>
      <c r="F57" s="14" t="s">
        <v>221</v>
      </c>
      <c r="G57" s="14" t="s">
        <v>222</v>
      </c>
      <c r="H57" s="7"/>
      <c r="I57" s="7"/>
      <c r="J57" s="11"/>
      <c r="K57" s="13"/>
      <c r="L57" s="11"/>
      <c r="M57" s="11"/>
      <c r="N57" s="15" t="str">
        <f aca="false">IF(H57="Nein","n. a.",IF(I57="erfüllt","grün",IF(I57="nicht anwendbar","n. a.",IF(I57="in Arbeit","gelb","rot"))))</f>
        <v>rot</v>
      </c>
    </row>
    <row r="58" customFormat="false" ht="30" hidden="false" customHeight="true" outlineLevel="0" collapsed="false">
      <c r="A58" s="14" t="s">
        <v>301</v>
      </c>
      <c r="B58" s="14" t="s">
        <v>173</v>
      </c>
      <c r="C58" s="14" t="s">
        <v>302</v>
      </c>
      <c r="D58" s="14" t="s">
        <v>303</v>
      </c>
      <c r="E58" s="14" t="s">
        <v>173</v>
      </c>
      <c r="F58" s="14" t="s">
        <v>221</v>
      </c>
      <c r="G58" s="14" t="s">
        <v>222</v>
      </c>
      <c r="H58" s="7"/>
      <c r="I58" s="7"/>
      <c r="J58" s="11"/>
      <c r="K58" s="13"/>
      <c r="L58" s="11"/>
      <c r="M58" s="11"/>
      <c r="N58" s="15" t="str">
        <f aca="false">IF(H58="Nein","n. a.",IF(I58="erfüllt","grün",IF(I58="nicht anwendbar","n. a.",IF(I58="in Arbeit","gelb","rot"))))</f>
        <v>rot</v>
      </c>
    </row>
    <row r="59" customFormat="false" ht="30" hidden="false" customHeight="true" outlineLevel="0" collapsed="false">
      <c r="A59" s="14" t="s">
        <v>304</v>
      </c>
      <c r="B59" s="14" t="s">
        <v>173</v>
      </c>
      <c r="C59" s="14" t="s">
        <v>305</v>
      </c>
      <c r="D59" s="14" t="s">
        <v>306</v>
      </c>
      <c r="E59" s="14" t="s">
        <v>173</v>
      </c>
      <c r="F59" s="14" t="s">
        <v>221</v>
      </c>
      <c r="G59" s="14" t="s">
        <v>222</v>
      </c>
      <c r="H59" s="7"/>
      <c r="I59" s="7"/>
      <c r="J59" s="11"/>
      <c r="K59" s="13"/>
      <c r="L59" s="11"/>
      <c r="M59" s="11"/>
      <c r="N59" s="15" t="str">
        <f aca="false">IF(H59="Nein","n. a.",IF(I59="erfüllt","grün",IF(I59="nicht anwendbar","n. a.",IF(I59="in Arbeit","gelb","rot"))))</f>
        <v>rot</v>
      </c>
    </row>
    <row r="60" customFormat="false" ht="30" hidden="false" customHeight="true" outlineLevel="0" collapsed="false">
      <c r="A60" s="14" t="s">
        <v>307</v>
      </c>
      <c r="B60" s="14" t="s">
        <v>173</v>
      </c>
      <c r="C60" s="14" t="s">
        <v>308</v>
      </c>
      <c r="D60" s="14" t="s">
        <v>309</v>
      </c>
      <c r="E60" s="14" t="s">
        <v>173</v>
      </c>
      <c r="F60" s="14" t="s">
        <v>221</v>
      </c>
      <c r="G60" s="14" t="s">
        <v>222</v>
      </c>
      <c r="H60" s="7"/>
      <c r="I60" s="7"/>
      <c r="J60" s="11"/>
      <c r="K60" s="13"/>
      <c r="L60" s="11"/>
      <c r="M60" s="11"/>
      <c r="N60" s="15" t="str">
        <f aca="false">IF(H60="Nein","n. a.",IF(I60="erfüllt","grün",IF(I60="nicht anwendbar","n. a.",IF(I60="in Arbeit","gelb","rot"))))</f>
        <v>rot</v>
      </c>
    </row>
    <row r="61" customFormat="false" ht="30" hidden="false" customHeight="true" outlineLevel="0" collapsed="false">
      <c r="A61" s="14" t="s">
        <v>310</v>
      </c>
      <c r="B61" s="14" t="s">
        <v>173</v>
      </c>
      <c r="C61" s="14" t="s">
        <v>311</v>
      </c>
      <c r="D61" s="14" t="s">
        <v>312</v>
      </c>
      <c r="E61" s="14" t="s">
        <v>173</v>
      </c>
      <c r="F61" s="14" t="s">
        <v>221</v>
      </c>
      <c r="G61" s="14" t="s">
        <v>222</v>
      </c>
      <c r="H61" s="7"/>
      <c r="I61" s="7"/>
      <c r="J61" s="11"/>
      <c r="K61" s="13"/>
      <c r="L61" s="11"/>
      <c r="M61" s="11"/>
      <c r="N61" s="15" t="str">
        <f aca="false">IF(H61="Nein","n. a.",IF(I61="erfüllt","grün",IF(I61="nicht anwendbar","n. a.",IF(I61="in Arbeit","gelb","rot"))))</f>
        <v>rot</v>
      </c>
    </row>
    <row r="62" customFormat="false" ht="30" hidden="false" customHeight="true" outlineLevel="0" collapsed="false">
      <c r="A62" s="14" t="s">
        <v>313</v>
      </c>
      <c r="B62" s="14" t="s">
        <v>173</v>
      </c>
      <c r="C62" s="14" t="s">
        <v>314</v>
      </c>
      <c r="D62" s="14" t="s">
        <v>315</v>
      </c>
      <c r="E62" s="14" t="s">
        <v>173</v>
      </c>
      <c r="F62" s="14" t="s">
        <v>221</v>
      </c>
      <c r="G62" s="14" t="s">
        <v>222</v>
      </c>
      <c r="H62" s="7"/>
      <c r="I62" s="7"/>
      <c r="J62" s="11"/>
      <c r="K62" s="13"/>
      <c r="L62" s="11"/>
      <c r="M62" s="11"/>
      <c r="N62" s="15" t="str">
        <f aca="false">IF(H62="Nein","n. a.",IF(I62="erfüllt","grün",IF(I62="nicht anwendbar","n. a.",IF(I62="in Arbeit","gelb","rot"))))</f>
        <v>rot</v>
      </c>
    </row>
    <row r="63" customFormat="false" ht="30" hidden="false" customHeight="true" outlineLevel="0" collapsed="false">
      <c r="A63" s="14" t="s">
        <v>316</v>
      </c>
      <c r="B63" s="14" t="s">
        <v>173</v>
      </c>
      <c r="C63" s="14" t="s">
        <v>317</v>
      </c>
      <c r="D63" s="14" t="s">
        <v>318</v>
      </c>
      <c r="E63" s="14" t="s">
        <v>131</v>
      </c>
      <c r="F63" s="14" t="s">
        <v>265</v>
      </c>
      <c r="G63" s="14" t="s">
        <v>40</v>
      </c>
      <c r="H63" s="7"/>
      <c r="I63" s="7"/>
      <c r="J63" s="11"/>
      <c r="K63" s="13"/>
      <c r="L63" s="11"/>
      <c r="M63" s="11"/>
      <c r="N63" s="15" t="str">
        <f aca="false">IF(H63="Nein","n. a.",IF(I63="erfüllt","grün",IF(I63="nicht anwendbar","n. a.",IF(I63="in Arbeit","gelb","rot"))))</f>
        <v>rot</v>
      </c>
    </row>
    <row r="64" customFormat="false" ht="30" hidden="false" customHeight="true" outlineLevel="0" collapsed="false">
      <c r="A64" s="14" t="s">
        <v>319</v>
      </c>
      <c r="B64" s="14" t="s">
        <v>173</v>
      </c>
      <c r="C64" s="14" t="s">
        <v>320</v>
      </c>
      <c r="D64" s="14" t="s">
        <v>321</v>
      </c>
      <c r="E64" s="14" t="s">
        <v>173</v>
      </c>
      <c r="F64" s="14" t="s">
        <v>221</v>
      </c>
      <c r="G64" s="14" t="s">
        <v>222</v>
      </c>
      <c r="H64" s="7"/>
      <c r="I64" s="7"/>
      <c r="J64" s="11"/>
      <c r="K64" s="13"/>
      <c r="L64" s="11"/>
      <c r="M64" s="11"/>
      <c r="N64" s="15" t="str">
        <f aca="false">IF(H64="Nein","n. a.",IF(I64="erfüllt","grün",IF(I64="nicht anwendbar","n. a.",IF(I64="in Arbeit","gelb","rot"))))</f>
        <v>rot</v>
      </c>
    </row>
    <row r="65" customFormat="false" ht="30" hidden="false" customHeight="true" outlineLevel="0" collapsed="false">
      <c r="A65" s="14" t="s">
        <v>322</v>
      </c>
      <c r="B65" s="14" t="s">
        <v>173</v>
      </c>
      <c r="C65" s="14" t="s">
        <v>323</v>
      </c>
      <c r="D65" s="14" t="s">
        <v>324</v>
      </c>
      <c r="E65" s="14" t="s">
        <v>173</v>
      </c>
      <c r="F65" s="14" t="s">
        <v>221</v>
      </c>
      <c r="G65" s="14" t="s">
        <v>222</v>
      </c>
      <c r="H65" s="7"/>
      <c r="I65" s="7"/>
      <c r="J65" s="11"/>
      <c r="K65" s="13"/>
      <c r="L65" s="11"/>
      <c r="M65" s="11"/>
      <c r="N65" s="15" t="str">
        <f aca="false">IF(H65="Nein","n. a.",IF(I65="erfüllt","grün",IF(I65="nicht anwendbar","n. a.",IF(I65="in Arbeit","gelb","rot"))))</f>
        <v>rot</v>
      </c>
    </row>
    <row r="66" customFormat="false" ht="30" hidden="false" customHeight="true" outlineLevel="0" collapsed="false">
      <c r="A66" s="14" t="s">
        <v>325</v>
      </c>
      <c r="B66" s="14" t="s">
        <v>173</v>
      </c>
      <c r="C66" s="14" t="s">
        <v>326</v>
      </c>
      <c r="D66" s="14" t="s">
        <v>327</v>
      </c>
      <c r="E66" s="14" t="s">
        <v>173</v>
      </c>
      <c r="F66" s="14" t="s">
        <v>221</v>
      </c>
      <c r="G66" s="14" t="s">
        <v>222</v>
      </c>
      <c r="H66" s="7"/>
      <c r="I66" s="7"/>
      <c r="J66" s="11"/>
      <c r="K66" s="13"/>
      <c r="L66" s="11"/>
      <c r="M66" s="11"/>
      <c r="N66" s="15" t="str">
        <f aca="false">IF(H66="Nein","n. a.",IF(I66="erfüllt","grün",IF(I66="nicht anwendbar","n. a.",IF(I66="in Arbeit","gelb","rot"))))</f>
        <v>rot</v>
      </c>
    </row>
    <row r="67" customFormat="false" ht="30" hidden="false" customHeight="true" outlineLevel="0" collapsed="false">
      <c r="A67" s="14" t="s">
        <v>328</v>
      </c>
      <c r="B67" s="14" t="s">
        <v>173</v>
      </c>
      <c r="C67" s="14" t="s">
        <v>329</v>
      </c>
      <c r="D67" s="14" t="s">
        <v>330</v>
      </c>
      <c r="E67" s="14" t="s">
        <v>173</v>
      </c>
      <c r="F67" s="14" t="s">
        <v>221</v>
      </c>
      <c r="G67" s="14" t="s">
        <v>222</v>
      </c>
      <c r="H67" s="7"/>
      <c r="I67" s="7"/>
      <c r="J67" s="11"/>
      <c r="K67" s="13"/>
      <c r="L67" s="11"/>
      <c r="M67" s="11"/>
      <c r="N67" s="15" t="str">
        <f aca="false">IF(H67="Nein","n. a.",IF(I67="erfüllt","grün",IF(I67="nicht anwendbar","n. a.",IF(I67="in Arbeit","gelb","rot"))))</f>
        <v>rot</v>
      </c>
    </row>
    <row r="68" customFormat="false" ht="30" hidden="false" customHeight="true" outlineLevel="0" collapsed="false">
      <c r="A68" s="14" t="s">
        <v>331</v>
      </c>
      <c r="B68" s="14" t="s">
        <v>173</v>
      </c>
      <c r="C68" s="14" t="s">
        <v>332</v>
      </c>
      <c r="D68" s="14" t="s">
        <v>333</v>
      </c>
      <c r="E68" s="14" t="s">
        <v>173</v>
      </c>
      <c r="F68" s="14" t="s">
        <v>221</v>
      </c>
      <c r="G68" s="14" t="s">
        <v>222</v>
      </c>
      <c r="H68" s="7"/>
      <c r="I68" s="7"/>
      <c r="J68" s="11"/>
      <c r="K68" s="13"/>
      <c r="L68" s="11"/>
      <c r="M68" s="11"/>
      <c r="N68" s="15" t="str">
        <f aca="false">IF(H68="Nein","n. a.",IF(I68="erfüllt","grün",IF(I68="nicht anwendbar","n. a.",IF(I68="in Arbeit","gelb","rot"))))</f>
        <v>rot</v>
      </c>
    </row>
    <row r="69" customFormat="false" ht="30" hidden="false" customHeight="true" outlineLevel="0" collapsed="false">
      <c r="A69" s="14" t="s">
        <v>334</v>
      </c>
      <c r="B69" s="14" t="s">
        <v>173</v>
      </c>
      <c r="C69" s="14" t="s">
        <v>335</v>
      </c>
      <c r="D69" s="14" t="s">
        <v>336</v>
      </c>
      <c r="E69" s="14" t="s">
        <v>173</v>
      </c>
      <c r="F69" s="14" t="s">
        <v>221</v>
      </c>
      <c r="G69" s="14" t="s">
        <v>222</v>
      </c>
      <c r="H69" s="7"/>
      <c r="I69" s="7"/>
      <c r="J69" s="11"/>
      <c r="K69" s="13"/>
      <c r="L69" s="11"/>
      <c r="M69" s="11"/>
      <c r="N69" s="15" t="str">
        <f aca="false">IF(H69="Nein","n. a.",IF(I69="erfüllt","grün",IF(I69="nicht anwendbar","n. a.",IF(I69="in Arbeit","gelb","rot"))))</f>
        <v>rot</v>
      </c>
    </row>
    <row r="70" customFormat="false" ht="30" hidden="false" customHeight="true" outlineLevel="0" collapsed="false">
      <c r="A70" s="14" t="s">
        <v>337</v>
      </c>
      <c r="B70" s="14" t="s">
        <v>173</v>
      </c>
      <c r="C70" s="14" t="s">
        <v>338</v>
      </c>
      <c r="D70" s="14" t="s">
        <v>339</v>
      </c>
      <c r="E70" s="14" t="s">
        <v>173</v>
      </c>
      <c r="F70" s="14" t="s">
        <v>221</v>
      </c>
      <c r="G70" s="14" t="s">
        <v>222</v>
      </c>
      <c r="H70" s="7"/>
      <c r="I70" s="7"/>
      <c r="J70" s="11"/>
      <c r="K70" s="13"/>
      <c r="L70" s="11"/>
      <c r="M70" s="11"/>
      <c r="N70" s="15" t="str">
        <f aca="false">IF(H70="Nein","n. a.",IF(I70="erfüllt","grün",IF(I70="nicht anwendbar","n. a.",IF(I70="in Arbeit","gelb","rot"))))</f>
        <v>rot</v>
      </c>
    </row>
    <row r="71" customFormat="false" ht="30" hidden="false" customHeight="true" outlineLevel="0" collapsed="false">
      <c r="A71" s="14" t="s">
        <v>340</v>
      </c>
      <c r="B71" s="14" t="s">
        <v>173</v>
      </c>
      <c r="C71" s="14" t="s">
        <v>267</v>
      </c>
      <c r="D71" s="14" t="s">
        <v>341</v>
      </c>
      <c r="E71" s="14" t="s">
        <v>173</v>
      </c>
      <c r="F71" s="14" t="s">
        <v>221</v>
      </c>
      <c r="G71" s="14" t="s">
        <v>222</v>
      </c>
      <c r="H71" s="7"/>
      <c r="I71" s="7"/>
      <c r="J71" s="11"/>
      <c r="K71" s="13"/>
      <c r="L71" s="11"/>
      <c r="M71" s="11"/>
      <c r="N71" s="15" t="str">
        <f aca="false">IF(H71="Nein","n. a.",IF(I71="erfüllt","grün",IF(I71="nicht anwendbar","n. a.",IF(I71="in Arbeit","gelb","rot"))))</f>
        <v>rot</v>
      </c>
    </row>
    <row r="72" customFormat="false" ht="30" hidden="false" customHeight="true" outlineLevel="0" collapsed="false">
      <c r="A72" s="14" t="s">
        <v>342</v>
      </c>
      <c r="B72" s="14" t="s">
        <v>173</v>
      </c>
      <c r="C72" s="14" t="s">
        <v>343</v>
      </c>
      <c r="D72" s="14" t="s">
        <v>344</v>
      </c>
      <c r="E72" s="14" t="s">
        <v>173</v>
      </c>
      <c r="F72" s="14" t="s">
        <v>221</v>
      </c>
      <c r="G72" s="14" t="s">
        <v>222</v>
      </c>
      <c r="H72" s="7"/>
      <c r="I72" s="7"/>
      <c r="J72" s="11"/>
      <c r="K72" s="13"/>
      <c r="L72" s="11"/>
      <c r="M72" s="11"/>
      <c r="N72" s="15" t="str">
        <f aca="false">IF(H72="Nein","n. a.",IF(I72="erfüllt","grün",IF(I72="nicht anwendbar","n. a.",IF(I72="in Arbeit","gelb","rot"))))</f>
        <v>rot</v>
      </c>
    </row>
    <row r="73" customFormat="false" ht="30" hidden="false" customHeight="true" outlineLevel="0" collapsed="false">
      <c r="A73" s="14" t="s">
        <v>345</v>
      </c>
      <c r="B73" s="14" t="s">
        <v>173</v>
      </c>
      <c r="C73" s="14" t="s">
        <v>346</v>
      </c>
      <c r="D73" s="14" t="s">
        <v>347</v>
      </c>
      <c r="E73" s="14" t="s">
        <v>173</v>
      </c>
      <c r="F73" s="14" t="s">
        <v>221</v>
      </c>
      <c r="G73" s="14" t="s">
        <v>273</v>
      </c>
      <c r="H73" s="7"/>
      <c r="I73" s="7"/>
      <c r="J73" s="11"/>
      <c r="K73" s="13"/>
      <c r="L73" s="11"/>
      <c r="M73" s="11"/>
      <c r="N73" s="15" t="str">
        <f aca="false">IF(H73="Nein","n. a.",IF(I73="erfüllt","grün",IF(I73="nicht anwendbar","n. a.",IF(I73="in Arbeit","gelb","rot"))))</f>
        <v>rot</v>
      </c>
    </row>
    <row r="74" customFormat="false" ht="30" hidden="false" customHeight="true" outlineLevel="0" collapsed="false">
      <c r="A74" s="14" t="s">
        <v>348</v>
      </c>
      <c r="B74" s="14" t="s">
        <v>173</v>
      </c>
      <c r="C74" s="14" t="s">
        <v>349</v>
      </c>
      <c r="D74" s="14" t="s">
        <v>350</v>
      </c>
      <c r="E74" s="14" t="s">
        <v>173</v>
      </c>
      <c r="F74" s="14" t="s">
        <v>221</v>
      </c>
      <c r="G74" s="14" t="s">
        <v>222</v>
      </c>
      <c r="H74" s="7"/>
      <c r="I74" s="7"/>
      <c r="J74" s="11"/>
      <c r="K74" s="13"/>
      <c r="L74" s="11"/>
      <c r="M74" s="11"/>
      <c r="N74" s="15" t="str">
        <f aca="false">IF(H74="Nein","n. a.",IF(I74="erfüllt","grün",IF(I74="nicht anwendbar","n. a.",IF(I74="in Arbeit","gelb","rot"))))</f>
        <v>rot</v>
      </c>
    </row>
    <row r="75" customFormat="false" ht="30" hidden="false" customHeight="true" outlineLevel="0" collapsed="false">
      <c r="A75" s="14" t="s">
        <v>351</v>
      </c>
      <c r="B75" s="14" t="s">
        <v>173</v>
      </c>
      <c r="C75" s="14" t="s">
        <v>352</v>
      </c>
      <c r="D75" s="14" t="s">
        <v>353</v>
      </c>
      <c r="E75" s="14" t="s">
        <v>173</v>
      </c>
      <c r="F75" s="14" t="s">
        <v>221</v>
      </c>
      <c r="G75" s="14" t="s">
        <v>222</v>
      </c>
      <c r="H75" s="7"/>
      <c r="I75" s="7"/>
      <c r="J75" s="11"/>
      <c r="K75" s="13"/>
      <c r="L75" s="11"/>
      <c r="M75" s="11"/>
      <c r="N75" s="15" t="str">
        <f aca="false">IF(H75="Nein","n. a.",IF(I75="erfüllt","grün",IF(I75="nicht anwendbar","n. a.",IF(I75="in Arbeit","gelb","rot"))))</f>
        <v>rot</v>
      </c>
    </row>
    <row r="76" customFormat="false" ht="30" hidden="false" customHeight="true" outlineLevel="0" collapsed="false">
      <c r="A76" s="14" t="s">
        <v>354</v>
      </c>
      <c r="B76" s="14" t="s">
        <v>173</v>
      </c>
      <c r="C76" s="14" t="s">
        <v>355</v>
      </c>
      <c r="D76" s="14" t="s">
        <v>356</v>
      </c>
      <c r="E76" s="14" t="s">
        <v>173</v>
      </c>
      <c r="F76" s="14" t="s">
        <v>272</v>
      </c>
      <c r="G76" s="14" t="s">
        <v>40</v>
      </c>
      <c r="H76" s="7"/>
      <c r="I76" s="7"/>
      <c r="J76" s="11"/>
      <c r="K76" s="13"/>
      <c r="L76" s="11"/>
      <c r="M76" s="11"/>
      <c r="N76" s="15" t="str">
        <f aca="false">IF(H76="Nein","n. a.",IF(I76="erfüllt","grün",IF(I76="nicht anwendbar","n. a.",IF(I76="in Arbeit","gelb","rot"))))</f>
        <v>rot</v>
      </c>
    </row>
    <row r="77" customFormat="false" ht="30" hidden="false" customHeight="true" outlineLevel="0" collapsed="false">
      <c r="A77" s="14" t="s">
        <v>357</v>
      </c>
      <c r="B77" s="14" t="s">
        <v>173</v>
      </c>
      <c r="C77" s="14" t="s">
        <v>358</v>
      </c>
      <c r="D77" s="14" t="s">
        <v>359</v>
      </c>
      <c r="E77" s="14" t="s">
        <v>173</v>
      </c>
      <c r="F77" s="14" t="s">
        <v>360</v>
      </c>
      <c r="G77" s="14" t="s">
        <v>40</v>
      </c>
      <c r="H77" s="7"/>
      <c r="I77" s="7"/>
      <c r="J77" s="11"/>
      <c r="K77" s="13"/>
      <c r="L77" s="11"/>
      <c r="M77" s="11"/>
      <c r="N77" s="15" t="str">
        <f aca="false">IF(H77="Nein","n. a.",IF(I77="erfüllt","grün",IF(I77="nicht anwendbar","n. a.",IF(I77="in Arbeit","gelb","rot"))))</f>
        <v>rot</v>
      </c>
    </row>
    <row r="78" customFormat="false" ht="30" hidden="false" customHeight="true" outlineLevel="0" collapsed="false">
      <c r="A78" s="14" t="s">
        <v>361</v>
      </c>
      <c r="B78" s="14" t="s">
        <v>173</v>
      </c>
      <c r="C78" s="14" t="s">
        <v>362</v>
      </c>
      <c r="D78" s="14" t="s">
        <v>363</v>
      </c>
      <c r="E78" s="14" t="s">
        <v>173</v>
      </c>
      <c r="F78" s="14" t="s">
        <v>221</v>
      </c>
      <c r="G78" s="14" t="s">
        <v>222</v>
      </c>
      <c r="H78" s="7"/>
      <c r="I78" s="7"/>
      <c r="J78" s="11"/>
      <c r="K78" s="13"/>
      <c r="L78" s="11"/>
      <c r="M78" s="11"/>
      <c r="N78" s="15" t="str">
        <f aca="false">IF(H78="Nein","n. a.",IF(I78="erfüllt","grün",IF(I78="nicht anwendbar","n. a.",IF(I78="in Arbeit","gelb","rot"))))</f>
        <v>rot</v>
      </c>
    </row>
    <row r="79" customFormat="false" ht="30" hidden="false" customHeight="true" outlineLevel="0" collapsed="false">
      <c r="A79" s="14" t="s">
        <v>364</v>
      </c>
      <c r="B79" s="14" t="s">
        <v>173</v>
      </c>
      <c r="C79" s="14" t="s">
        <v>365</v>
      </c>
      <c r="D79" s="14" t="s">
        <v>366</v>
      </c>
      <c r="E79" s="14" t="s">
        <v>173</v>
      </c>
      <c r="F79" s="14" t="s">
        <v>221</v>
      </c>
      <c r="G79" s="14" t="s">
        <v>222</v>
      </c>
      <c r="H79" s="7"/>
      <c r="I79" s="7"/>
      <c r="J79" s="11"/>
      <c r="K79" s="13"/>
      <c r="L79" s="11"/>
      <c r="M79" s="11"/>
      <c r="N79" s="15" t="str">
        <f aca="false">IF(H79="Nein","n. a.",IF(I79="erfüllt","grün",IF(I79="nicht anwendbar","n. a.",IF(I79="in Arbeit","gelb","rot"))))</f>
        <v>rot</v>
      </c>
    </row>
    <row r="80" customFormat="false" ht="30" hidden="false" customHeight="true" outlineLevel="0" collapsed="false">
      <c r="A80" s="14" t="s">
        <v>367</v>
      </c>
      <c r="B80" s="14" t="s">
        <v>173</v>
      </c>
      <c r="C80" s="14" t="s">
        <v>368</v>
      </c>
      <c r="D80" s="14" t="s">
        <v>369</v>
      </c>
      <c r="E80" s="14" t="s">
        <v>173</v>
      </c>
      <c r="F80" s="14" t="s">
        <v>221</v>
      </c>
      <c r="G80" s="14" t="s">
        <v>222</v>
      </c>
      <c r="H80" s="7"/>
      <c r="I80" s="7"/>
      <c r="J80" s="11"/>
      <c r="K80" s="13"/>
      <c r="L80" s="11"/>
      <c r="M80" s="11"/>
      <c r="N80" s="15" t="str">
        <f aca="false">IF(H80="Nein","n. a.",IF(I80="erfüllt","grün",IF(I80="nicht anwendbar","n. a.",IF(I80="in Arbeit","gelb","rot"))))</f>
        <v>rot</v>
      </c>
    </row>
    <row r="81" customFormat="false" ht="30" hidden="false" customHeight="true" outlineLevel="0" collapsed="false">
      <c r="A81" s="14" t="s">
        <v>370</v>
      </c>
      <c r="B81" s="14" t="s">
        <v>173</v>
      </c>
      <c r="C81" s="14" t="s">
        <v>371</v>
      </c>
      <c r="D81" s="14" t="s">
        <v>372</v>
      </c>
      <c r="E81" s="14" t="s">
        <v>173</v>
      </c>
      <c r="F81" s="14" t="s">
        <v>221</v>
      </c>
      <c r="G81" s="14" t="s">
        <v>222</v>
      </c>
      <c r="H81" s="7"/>
      <c r="I81" s="7"/>
      <c r="J81" s="11"/>
      <c r="K81" s="13"/>
      <c r="L81" s="11"/>
      <c r="M81" s="11"/>
      <c r="N81" s="15" t="str">
        <f aca="false">IF(H81="Nein","n. a.",IF(I81="erfüllt","grün",IF(I81="nicht anwendbar","n. a.",IF(I81="in Arbeit","gelb","rot"))))</f>
        <v>rot</v>
      </c>
    </row>
    <row r="82" customFormat="false" ht="30" hidden="false" customHeight="true" outlineLevel="0" collapsed="false">
      <c r="A82" s="14" t="s">
        <v>373</v>
      </c>
      <c r="B82" s="14" t="s">
        <v>173</v>
      </c>
      <c r="C82" s="14" t="s">
        <v>374</v>
      </c>
      <c r="D82" s="14" t="s">
        <v>375</v>
      </c>
      <c r="E82" s="14" t="s">
        <v>173</v>
      </c>
      <c r="F82" s="14" t="s">
        <v>221</v>
      </c>
      <c r="G82" s="14" t="s">
        <v>222</v>
      </c>
      <c r="H82" s="7"/>
      <c r="I82" s="7"/>
      <c r="J82" s="11"/>
      <c r="K82" s="13"/>
      <c r="L82" s="11"/>
      <c r="M82" s="11"/>
      <c r="N82" s="15" t="str">
        <f aca="false">IF(H82="Nein","n. a.",IF(I82="erfüllt","grün",IF(I82="nicht anwendbar","n. a.",IF(I82="in Arbeit","gelb","rot"))))</f>
        <v>rot</v>
      </c>
    </row>
    <row r="83" customFormat="false" ht="30" hidden="false" customHeight="true" outlineLevel="0" collapsed="false">
      <c r="A83" s="14" t="s">
        <v>376</v>
      </c>
      <c r="B83" s="14" t="s">
        <v>377</v>
      </c>
      <c r="C83" s="14" t="s">
        <v>378</v>
      </c>
      <c r="D83" s="14" t="s">
        <v>379</v>
      </c>
      <c r="E83" s="14" t="s">
        <v>187</v>
      </c>
      <c r="F83" s="14" t="s">
        <v>221</v>
      </c>
      <c r="G83" s="14" t="s">
        <v>138</v>
      </c>
      <c r="H83" s="7"/>
      <c r="I83" s="7"/>
      <c r="J83" s="11"/>
      <c r="K83" s="13"/>
      <c r="L83" s="11"/>
      <c r="M83" s="11"/>
      <c r="N83" s="15" t="str">
        <f aca="false">IF(H83="Nein","n. a.",IF(I83="erfüllt","grün",IF(I83="nicht anwendbar","n. a.",IF(I83="in Arbeit","gelb","rot"))))</f>
        <v>rot</v>
      </c>
    </row>
    <row r="84" customFormat="false" ht="30" hidden="false" customHeight="true" outlineLevel="0" collapsed="false">
      <c r="A84" s="14" t="s">
        <v>380</v>
      </c>
      <c r="B84" s="14" t="s">
        <v>377</v>
      </c>
      <c r="C84" s="14" t="s">
        <v>381</v>
      </c>
      <c r="D84" s="14" t="s">
        <v>382</v>
      </c>
      <c r="E84" s="14" t="s">
        <v>187</v>
      </c>
      <c r="F84" s="14" t="s">
        <v>221</v>
      </c>
      <c r="G84" s="14" t="s">
        <v>138</v>
      </c>
      <c r="H84" s="7"/>
      <c r="I84" s="7"/>
      <c r="J84" s="11"/>
      <c r="K84" s="13"/>
      <c r="L84" s="11"/>
      <c r="M84" s="11"/>
      <c r="N84" s="15" t="str">
        <f aca="false">IF(H84="Nein","n. a.",IF(I84="erfüllt","grün",IF(I84="nicht anwendbar","n. a.",IF(I84="in Arbeit","gelb","rot"))))</f>
        <v>rot</v>
      </c>
    </row>
    <row r="85" customFormat="false" ht="30" hidden="false" customHeight="true" outlineLevel="0" collapsed="false">
      <c r="A85" s="14" t="s">
        <v>383</v>
      </c>
      <c r="B85" s="14" t="s">
        <v>377</v>
      </c>
      <c r="C85" s="14" t="s">
        <v>384</v>
      </c>
      <c r="D85" s="14" t="s">
        <v>385</v>
      </c>
      <c r="E85" s="14" t="s">
        <v>187</v>
      </c>
      <c r="F85" s="14" t="s">
        <v>132</v>
      </c>
      <c r="G85" s="14" t="s">
        <v>138</v>
      </c>
      <c r="H85" s="7"/>
      <c r="I85" s="7"/>
      <c r="J85" s="11"/>
      <c r="K85" s="13"/>
      <c r="L85" s="11"/>
      <c r="M85" s="11"/>
      <c r="N85" s="15" t="str">
        <f aca="false">IF(H85="Nein","n. a.",IF(I85="erfüllt","grün",IF(I85="nicht anwendbar","n. a.",IF(I85="in Arbeit","gelb","rot"))))</f>
        <v>rot</v>
      </c>
    </row>
    <row r="86" customFormat="false" ht="30" hidden="false" customHeight="true" outlineLevel="0" collapsed="false">
      <c r="A86" s="14" t="s">
        <v>386</v>
      </c>
      <c r="B86" s="14" t="s">
        <v>377</v>
      </c>
      <c r="C86" s="14" t="s">
        <v>387</v>
      </c>
      <c r="D86" s="14" t="s">
        <v>388</v>
      </c>
      <c r="E86" s="14" t="s">
        <v>173</v>
      </c>
      <c r="F86" s="14" t="s">
        <v>221</v>
      </c>
      <c r="G86" s="14" t="s">
        <v>138</v>
      </c>
      <c r="H86" s="7"/>
      <c r="I86" s="7"/>
      <c r="J86" s="11"/>
      <c r="K86" s="13"/>
      <c r="L86" s="11"/>
      <c r="M86" s="11"/>
      <c r="N86" s="15" t="str">
        <f aca="false">IF(H86="Nein","n. a.",IF(I86="erfüllt","grün",IF(I86="nicht anwendbar","n. a.",IF(I86="in Arbeit","gelb","rot"))))</f>
        <v>rot</v>
      </c>
    </row>
    <row r="87" customFormat="false" ht="30" hidden="false" customHeight="true" outlineLevel="0" collapsed="false">
      <c r="A87" s="14" t="s">
        <v>389</v>
      </c>
      <c r="B87" s="14" t="s">
        <v>377</v>
      </c>
      <c r="C87" s="14" t="s">
        <v>390</v>
      </c>
      <c r="D87" s="14" t="s">
        <v>206</v>
      </c>
      <c r="E87" s="14" t="s">
        <v>132</v>
      </c>
      <c r="F87" s="14" t="s">
        <v>132</v>
      </c>
      <c r="G87" s="14" t="s">
        <v>138</v>
      </c>
      <c r="H87" s="7"/>
      <c r="I87" s="7"/>
      <c r="J87" s="11"/>
      <c r="K87" s="13"/>
      <c r="L87" s="11"/>
      <c r="M87" s="11"/>
      <c r="N87" s="15" t="str">
        <f aca="false">IF(H87="Nein","n. a.",IF(I87="erfüllt","grün",IF(I87="nicht anwendbar","n. a.",IF(I87="in Arbeit","gelb","rot"))))</f>
        <v>rot</v>
      </c>
    </row>
    <row r="88" customFormat="false" ht="30" hidden="false" customHeight="true" outlineLevel="0" collapsed="false">
      <c r="A88" s="14" t="s">
        <v>391</v>
      </c>
      <c r="B88" s="14" t="s">
        <v>392</v>
      </c>
      <c r="C88" s="14" t="s">
        <v>393</v>
      </c>
      <c r="D88" s="14" t="s">
        <v>394</v>
      </c>
      <c r="E88" s="14" t="s">
        <v>173</v>
      </c>
      <c r="F88" s="14" t="s">
        <v>392</v>
      </c>
      <c r="G88" s="14" t="s">
        <v>395</v>
      </c>
      <c r="H88" s="7"/>
      <c r="I88" s="7"/>
      <c r="J88" s="11"/>
      <c r="K88" s="13"/>
      <c r="L88" s="11"/>
      <c r="M88" s="11"/>
      <c r="N88" s="15" t="str">
        <f aca="false">IF(H88="Nein","n. a.",IF(I88="erfüllt","grün",IF(I88="nicht anwendbar","n. a.",IF(I88="in Arbeit","gelb","rot"))))</f>
        <v>rot</v>
      </c>
    </row>
    <row r="89" customFormat="false" ht="30" hidden="false" customHeight="true" outlineLevel="0" collapsed="false">
      <c r="A89" s="14" t="s">
        <v>396</v>
      </c>
      <c r="B89" s="14" t="s">
        <v>392</v>
      </c>
      <c r="C89" s="14" t="s">
        <v>397</v>
      </c>
      <c r="D89" s="14" t="s">
        <v>398</v>
      </c>
      <c r="E89" s="14" t="s">
        <v>173</v>
      </c>
      <c r="F89" s="14" t="s">
        <v>392</v>
      </c>
      <c r="G89" s="14" t="s">
        <v>395</v>
      </c>
      <c r="H89" s="7"/>
      <c r="I89" s="7"/>
      <c r="J89" s="11"/>
      <c r="K89" s="13"/>
      <c r="L89" s="11"/>
      <c r="M89" s="11"/>
      <c r="N89" s="15" t="str">
        <f aca="false">IF(H89="Nein","n. a.",IF(I89="erfüllt","grün",IF(I89="nicht anwendbar","n. a.",IF(I89="in Arbeit","gelb","rot"))))</f>
        <v>rot</v>
      </c>
    </row>
    <row r="90" customFormat="false" ht="30" hidden="false" customHeight="true" outlineLevel="0" collapsed="false">
      <c r="A90" s="14" t="s">
        <v>399</v>
      </c>
      <c r="B90" s="14" t="s">
        <v>392</v>
      </c>
      <c r="C90" s="14" t="s">
        <v>400</v>
      </c>
      <c r="D90" s="14" t="s">
        <v>401</v>
      </c>
      <c r="E90" s="14" t="s">
        <v>173</v>
      </c>
      <c r="F90" s="14" t="s">
        <v>392</v>
      </c>
      <c r="G90" s="14" t="s">
        <v>395</v>
      </c>
      <c r="H90" s="7"/>
      <c r="I90" s="7"/>
      <c r="J90" s="11"/>
      <c r="K90" s="13"/>
      <c r="L90" s="11"/>
      <c r="M90" s="11"/>
      <c r="N90" s="15" t="str">
        <f aca="false">IF(H90="Nein","n. a.",IF(I90="erfüllt","grün",IF(I90="nicht anwendbar","n. a.",IF(I90="in Arbeit","gelb","rot"))))</f>
        <v>rot</v>
      </c>
    </row>
    <row r="91" customFormat="false" ht="30" hidden="false" customHeight="true" outlineLevel="0" collapsed="false">
      <c r="A91" s="14" t="s">
        <v>402</v>
      </c>
      <c r="B91" s="14" t="s">
        <v>392</v>
      </c>
      <c r="C91" s="14" t="s">
        <v>403</v>
      </c>
      <c r="D91" s="14" t="s">
        <v>404</v>
      </c>
      <c r="E91" s="14" t="s">
        <v>173</v>
      </c>
      <c r="F91" s="14" t="s">
        <v>392</v>
      </c>
      <c r="G91" s="14" t="s">
        <v>395</v>
      </c>
      <c r="H91" s="7"/>
      <c r="I91" s="7"/>
      <c r="J91" s="11"/>
      <c r="K91" s="13"/>
      <c r="L91" s="11"/>
      <c r="M91" s="11"/>
      <c r="N91" s="15" t="str">
        <f aca="false">IF(H91="Nein","n. a.",IF(I91="erfüllt","grün",IF(I91="nicht anwendbar","n. a.",IF(I91="in Arbeit","gelb","rot"))))</f>
        <v>rot</v>
      </c>
    </row>
    <row r="92" customFormat="false" ht="30" hidden="false" customHeight="true" outlineLevel="0" collapsed="false">
      <c r="A92" s="14" t="s">
        <v>405</v>
      </c>
      <c r="B92" s="14" t="s">
        <v>392</v>
      </c>
      <c r="C92" s="14" t="s">
        <v>406</v>
      </c>
      <c r="D92" s="14" t="s">
        <v>407</v>
      </c>
      <c r="E92" s="14" t="s">
        <v>173</v>
      </c>
      <c r="F92" s="14" t="s">
        <v>392</v>
      </c>
      <c r="G92" s="14" t="s">
        <v>395</v>
      </c>
      <c r="H92" s="7"/>
      <c r="I92" s="7"/>
      <c r="J92" s="11"/>
      <c r="K92" s="13"/>
      <c r="L92" s="11"/>
      <c r="M92" s="11"/>
      <c r="N92" s="15" t="str">
        <f aca="false">IF(H92="Nein","n. a.",IF(I92="erfüllt","grün",IF(I92="nicht anwendbar","n. a.",IF(I92="in Arbeit","gelb","rot"))))</f>
        <v>rot</v>
      </c>
    </row>
    <row r="94" customFormat="false" ht="15" hidden="false" customHeight="false" outlineLevel="0" collapsed="false">
      <c r="A94" s="16" t="s">
        <v>408</v>
      </c>
      <c r="B94" s="16"/>
      <c r="C94" s="16"/>
      <c r="D94" s="16"/>
      <c r="E94" s="16"/>
      <c r="F94" s="16"/>
      <c r="G94" s="16"/>
      <c r="H94" s="16"/>
      <c r="I94" s="16"/>
      <c r="J94" s="16"/>
      <c r="K94" s="16"/>
      <c r="L94" s="16"/>
      <c r="M94" s="16"/>
      <c r="N94" s="16"/>
    </row>
  </sheetData>
  <autoFilter ref="A5:N92"/>
  <mergeCells count="3">
    <mergeCell ref="A1:N1"/>
    <mergeCell ref="A2:N2"/>
    <mergeCell ref="A94:N94"/>
  </mergeCells>
  <conditionalFormatting sqref="N6:N92">
    <cfRule type="cellIs" priority="2" operator="equal" aboveAverage="0" equalAverage="0" bottom="0" percent="0" rank="0" text="" dxfId="5">
      <formula>"grün"</formula>
    </cfRule>
    <cfRule type="cellIs" priority="3" operator="equal" aboveAverage="0" equalAverage="0" bottom="0" percent="0" rank="0" text="" dxfId="3">
      <formula>"gelb"</formula>
    </cfRule>
    <cfRule type="cellIs" priority="4" operator="equal" aboveAverage="0" equalAverage="0" bottom="0" percent="0" rank="0" text="" dxfId="13">
      <formula>"rot"</formula>
    </cfRule>
    <cfRule type="cellIs" priority="5" operator="equal" aboveAverage="0" equalAverage="0" bottom="0" percent="0" rank="0" text="" dxfId="2">
      <formula>"n. a."</formula>
    </cfRule>
  </conditionalFormatting>
  <dataValidations count="2">
    <dataValidation allowBlank="true" error="Bitte einen Wert aus der Liste wählen. Freitext führt zu falschen Einstufungen." errorStyle="stop" errorTitle="Ungültige Eingabe" operator="between" showDropDown="false" showErrorMessage="true" showInputMessage="false" sqref="H6:H92" type="list">
      <formula1>'08_Register'!$J$5:$J$7</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I6:I92" type="list">
      <formula1>'08_Register'!$B$5:$B$8</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6"/>
    <col collapsed="false" customWidth="true" hidden="false" outlineLevel="0" max="4" min="4" style="0" width="42"/>
    <col collapsed="false" customWidth="true" hidden="false" outlineLevel="0" max="5" min="5" style="0" width="46"/>
    <col collapsed="false" customWidth="true" hidden="false" outlineLevel="0" max="6" min="6" style="0" width="20"/>
    <col collapsed="false" customWidth="true" hidden="false" outlineLevel="0" max="9" min="7" style="0" width="13"/>
    <col collapsed="false" customWidth="true" hidden="false" outlineLevel="0" max="10" min="10" style="0" width="22"/>
    <col collapsed="false" customWidth="true" hidden="false" outlineLevel="0" max="11" min="11" style="0" width="30"/>
  </cols>
  <sheetData>
    <row r="1" customFormat="false" ht="24" hidden="false" customHeight="true" outlineLevel="0" collapsed="false">
      <c r="A1" s="1" t="s">
        <v>409</v>
      </c>
      <c r="B1" s="1"/>
      <c r="C1" s="1"/>
      <c r="D1" s="1"/>
      <c r="E1" s="1"/>
      <c r="F1" s="1"/>
      <c r="G1" s="1"/>
      <c r="H1" s="1"/>
      <c r="I1" s="1"/>
      <c r="J1" s="1"/>
      <c r="K1" s="1"/>
    </row>
    <row r="2" customFormat="false" ht="15" hidden="false" customHeight="false" outlineLevel="0" collapsed="false">
      <c r="A2" s="2" t="s">
        <v>410</v>
      </c>
      <c r="B2" s="2"/>
      <c r="C2" s="2"/>
      <c r="D2" s="2"/>
      <c r="E2" s="2"/>
      <c r="F2" s="2"/>
      <c r="G2" s="2"/>
      <c r="H2" s="2"/>
      <c r="I2" s="2"/>
      <c r="J2" s="2"/>
      <c r="K2" s="2"/>
    </row>
    <row r="5" customFormat="false" ht="33.75" hidden="false" customHeight="true" outlineLevel="0" collapsed="false">
      <c r="A5" s="9" t="s">
        <v>114</v>
      </c>
      <c r="B5" s="9" t="s">
        <v>411</v>
      </c>
      <c r="C5" s="9" t="s">
        <v>412</v>
      </c>
      <c r="D5" s="9" t="s">
        <v>413</v>
      </c>
      <c r="E5" s="9" t="s">
        <v>414</v>
      </c>
      <c r="F5" s="9" t="s">
        <v>123</v>
      </c>
      <c r="G5" s="9" t="s">
        <v>124</v>
      </c>
      <c r="H5" s="9" t="s">
        <v>415</v>
      </c>
      <c r="I5" s="9" t="s">
        <v>416</v>
      </c>
      <c r="J5" s="9" t="s">
        <v>417</v>
      </c>
      <c r="K5" s="9" t="s">
        <v>69</v>
      </c>
    </row>
    <row r="6" customFormat="false" ht="25.5" hidden="false" customHeight="true" outlineLevel="0" collapsed="false">
      <c r="A6" s="11" t="n">
        <v>1</v>
      </c>
      <c r="B6" s="10" t="s">
        <v>70</v>
      </c>
      <c r="C6" s="10" t="s">
        <v>253</v>
      </c>
      <c r="D6" s="10" t="s">
        <v>418</v>
      </c>
      <c r="E6" s="10" t="s">
        <v>419</v>
      </c>
      <c r="F6" s="10" t="s">
        <v>78</v>
      </c>
      <c r="G6" s="13" t="n">
        <f aca="true">TODAY()+60</f>
        <v>46292</v>
      </c>
      <c r="H6" s="17" t="n">
        <v>0.25</v>
      </c>
      <c r="I6" s="10" t="s">
        <v>420</v>
      </c>
      <c r="J6" s="12" t="str">
        <f aca="true">IF(G6="","",IF(H6&gt;=1,"abgeschlossen",IF(G6&lt;TODAY(),"überfällig",IF(G6&lt;=TODAY()+30,"fällig in 30 Tagen","im Plan"))))</f>
        <v>im Plan</v>
      </c>
      <c r="K6" s="11"/>
    </row>
    <row r="7" customFormat="false" ht="25.5" hidden="false" customHeight="true" outlineLevel="0" collapsed="false">
      <c r="A7" s="11" t="n">
        <v>2</v>
      </c>
      <c r="B7" s="7"/>
      <c r="C7" s="7"/>
      <c r="D7" s="11"/>
      <c r="E7" s="11"/>
      <c r="F7" s="11"/>
      <c r="G7" s="13"/>
      <c r="H7" s="17"/>
      <c r="I7" s="7"/>
      <c r="J7" s="12" t="str">
        <f aca="true">IF(G7="","",IF(H7&gt;=1,"abgeschlossen",IF(G7&lt;TODAY(),"überfällig",IF(G7&lt;=TODAY()+30,"fällig in 30 Tagen","im Plan"))))</f>
        <v/>
      </c>
      <c r="K7" s="11"/>
    </row>
    <row r="8" customFormat="false" ht="25.5" hidden="false" customHeight="true" outlineLevel="0" collapsed="false">
      <c r="A8" s="11" t="n">
        <v>3</v>
      </c>
      <c r="B8" s="7"/>
      <c r="C8" s="7"/>
      <c r="D8" s="11"/>
      <c r="E8" s="11"/>
      <c r="F8" s="11"/>
      <c r="G8" s="13"/>
      <c r="H8" s="17"/>
      <c r="I8" s="7"/>
      <c r="J8" s="12" t="str">
        <f aca="true">IF(G8="","",IF(H8&gt;=1,"abgeschlossen",IF(G8&lt;TODAY(),"überfällig",IF(G8&lt;=TODAY()+30,"fällig in 30 Tagen","im Plan"))))</f>
        <v/>
      </c>
      <c r="K8" s="11"/>
    </row>
    <row r="9" customFormat="false" ht="25.5" hidden="false" customHeight="true" outlineLevel="0" collapsed="false">
      <c r="A9" s="11" t="n">
        <v>4</v>
      </c>
      <c r="B9" s="7"/>
      <c r="C9" s="7"/>
      <c r="D9" s="11"/>
      <c r="E9" s="11"/>
      <c r="F9" s="11"/>
      <c r="G9" s="13"/>
      <c r="H9" s="17"/>
      <c r="I9" s="7"/>
      <c r="J9" s="12" t="str">
        <f aca="true">IF(G9="","",IF(H9&gt;=1,"abgeschlossen",IF(G9&lt;TODAY(),"überfällig",IF(G9&lt;=TODAY()+30,"fällig in 30 Tagen","im Plan"))))</f>
        <v/>
      </c>
      <c r="K9" s="11"/>
    </row>
    <row r="10" customFormat="false" ht="25.5" hidden="false" customHeight="true" outlineLevel="0" collapsed="false">
      <c r="A10" s="11" t="n">
        <v>5</v>
      </c>
      <c r="B10" s="7"/>
      <c r="C10" s="7"/>
      <c r="D10" s="11"/>
      <c r="E10" s="11"/>
      <c r="F10" s="11"/>
      <c r="G10" s="13"/>
      <c r="H10" s="17"/>
      <c r="I10" s="7"/>
      <c r="J10" s="12" t="str">
        <f aca="true">IF(G10="","",IF(H10&gt;=1,"abgeschlossen",IF(G10&lt;TODAY(),"überfällig",IF(G10&lt;=TODAY()+30,"fällig in 30 Tagen","im Plan"))))</f>
        <v/>
      </c>
      <c r="K10" s="11"/>
    </row>
    <row r="11" customFormat="false" ht="25.5" hidden="false" customHeight="true" outlineLevel="0" collapsed="false">
      <c r="A11" s="11" t="n">
        <v>6</v>
      </c>
      <c r="B11" s="7"/>
      <c r="C11" s="7"/>
      <c r="D11" s="11"/>
      <c r="E11" s="11"/>
      <c r="F11" s="11"/>
      <c r="G11" s="13"/>
      <c r="H11" s="17"/>
      <c r="I11" s="7"/>
      <c r="J11" s="12" t="str">
        <f aca="true">IF(G11="","",IF(H11&gt;=1,"abgeschlossen",IF(G11&lt;TODAY(),"überfällig",IF(G11&lt;=TODAY()+30,"fällig in 30 Tagen","im Plan"))))</f>
        <v/>
      </c>
      <c r="K11" s="11"/>
    </row>
    <row r="12" customFormat="false" ht="25.5" hidden="false" customHeight="true" outlineLevel="0" collapsed="false">
      <c r="A12" s="11" t="n">
        <v>7</v>
      </c>
      <c r="B12" s="7"/>
      <c r="C12" s="7"/>
      <c r="D12" s="11"/>
      <c r="E12" s="11"/>
      <c r="F12" s="11"/>
      <c r="G12" s="13"/>
      <c r="H12" s="17"/>
      <c r="I12" s="7"/>
      <c r="J12" s="12" t="str">
        <f aca="true">IF(G12="","",IF(H12&gt;=1,"abgeschlossen",IF(G12&lt;TODAY(),"überfällig",IF(G12&lt;=TODAY()+30,"fällig in 30 Tagen","im Plan"))))</f>
        <v/>
      </c>
      <c r="K12" s="11"/>
    </row>
    <row r="13" customFormat="false" ht="25.5" hidden="false" customHeight="true" outlineLevel="0" collapsed="false">
      <c r="A13" s="11" t="n">
        <v>8</v>
      </c>
      <c r="B13" s="7"/>
      <c r="C13" s="7"/>
      <c r="D13" s="11"/>
      <c r="E13" s="11"/>
      <c r="F13" s="11"/>
      <c r="G13" s="13"/>
      <c r="H13" s="17"/>
      <c r="I13" s="7"/>
      <c r="J13" s="12" t="str">
        <f aca="true">IF(G13="","",IF(H13&gt;=1,"abgeschlossen",IF(G13&lt;TODAY(),"überfällig",IF(G13&lt;=TODAY()+30,"fällig in 30 Tagen","im Plan"))))</f>
        <v/>
      </c>
      <c r="K13" s="11"/>
    </row>
    <row r="14" customFormat="false" ht="25.5" hidden="false" customHeight="true" outlineLevel="0" collapsed="false">
      <c r="A14" s="11" t="n">
        <v>9</v>
      </c>
      <c r="B14" s="7"/>
      <c r="C14" s="7"/>
      <c r="D14" s="11"/>
      <c r="E14" s="11"/>
      <c r="F14" s="11"/>
      <c r="G14" s="13"/>
      <c r="H14" s="17"/>
      <c r="I14" s="7"/>
      <c r="J14" s="12" t="str">
        <f aca="true">IF(G14="","",IF(H14&gt;=1,"abgeschlossen",IF(G14&lt;TODAY(),"überfällig",IF(G14&lt;=TODAY()+30,"fällig in 30 Tagen","im Plan"))))</f>
        <v/>
      </c>
      <c r="K14" s="11"/>
    </row>
    <row r="15" customFormat="false" ht="25.5" hidden="false" customHeight="true" outlineLevel="0" collapsed="false">
      <c r="A15" s="11" t="n">
        <v>10</v>
      </c>
      <c r="B15" s="7"/>
      <c r="C15" s="7"/>
      <c r="D15" s="11"/>
      <c r="E15" s="11"/>
      <c r="F15" s="11"/>
      <c r="G15" s="13"/>
      <c r="H15" s="17"/>
      <c r="I15" s="7"/>
      <c r="J15" s="12" t="str">
        <f aca="true">IF(G15="","",IF(H15&gt;=1,"abgeschlossen",IF(G15&lt;TODAY(),"überfällig",IF(G15&lt;=TODAY()+30,"fällig in 30 Tagen","im Plan"))))</f>
        <v/>
      </c>
      <c r="K15" s="11"/>
    </row>
    <row r="16" customFormat="false" ht="25.5" hidden="false" customHeight="true" outlineLevel="0" collapsed="false">
      <c r="A16" s="11" t="n">
        <v>11</v>
      </c>
      <c r="B16" s="7"/>
      <c r="C16" s="7"/>
      <c r="D16" s="11"/>
      <c r="E16" s="11"/>
      <c r="F16" s="11"/>
      <c r="G16" s="13"/>
      <c r="H16" s="17"/>
      <c r="I16" s="7"/>
      <c r="J16" s="12" t="str">
        <f aca="true">IF(G16="","",IF(H16&gt;=1,"abgeschlossen",IF(G16&lt;TODAY(),"überfällig",IF(G16&lt;=TODAY()+30,"fällig in 30 Tagen","im Plan"))))</f>
        <v/>
      </c>
      <c r="K16" s="11"/>
    </row>
    <row r="17" customFormat="false" ht="25.5" hidden="false" customHeight="true" outlineLevel="0" collapsed="false">
      <c r="A17" s="11" t="n">
        <v>12</v>
      </c>
      <c r="B17" s="7"/>
      <c r="C17" s="7"/>
      <c r="D17" s="11"/>
      <c r="E17" s="11"/>
      <c r="F17" s="11"/>
      <c r="G17" s="13"/>
      <c r="H17" s="17"/>
      <c r="I17" s="7"/>
      <c r="J17" s="12" t="str">
        <f aca="true">IF(G17="","",IF(H17&gt;=1,"abgeschlossen",IF(G17&lt;TODAY(),"überfällig",IF(G17&lt;=TODAY()+30,"fällig in 30 Tagen","im Plan"))))</f>
        <v/>
      </c>
      <c r="K17" s="11"/>
    </row>
    <row r="18" customFormat="false" ht="25.5" hidden="false" customHeight="true" outlineLevel="0" collapsed="false">
      <c r="A18" s="11" t="n">
        <v>13</v>
      </c>
      <c r="B18" s="7"/>
      <c r="C18" s="7"/>
      <c r="D18" s="11"/>
      <c r="E18" s="11"/>
      <c r="F18" s="11"/>
      <c r="G18" s="13"/>
      <c r="H18" s="17"/>
      <c r="I18" s="7"/>
      <c r="J18" s="12" t="str">
        <f aca="true">IF(G18="","",IF(H18&gt;=1,"abgeschlossen",IF(G18&lt;TODAY(),"überfällig",IF(G18&lt;=TODAY()+30,"fällig in 30 Tagen","im Plan"))))</f>
        <v/>
      </c>
      <c r="K18" s="11"/>
    </row>
    <row r="19" customFormat="false" ht="25.5" hidden="false" customHeight="true" outlineLevel="0" collapsed="false">
      <c r="A19" s="11" t="n">
        <v>14</v>
      </c>
      <c r="B19" s="7"/>
      <c r="C19" s="7"/>
      <c r="D19" s="11"/>
      <c r="E19" s="11"/>
      <c r="F19" s="11"/>
      <c r="G19" s="13"/>
      <c r="H19" s="17"/>
      <c r="I19" s="7"/>
      <c r="J19" s="12" t="str">
        <f aca="true">IF(G19="","",IF(H19&gt;=1,"abgeschlossen",IF(G19&lt;TODAY(),"überfällig",IF(G19&lt;=TODAY()+30,"fällig in 30 Tagen","im Plan"))))</f>
        <v/>
      </c>
      <c r="K19" s="11"/>
    </row>
    <row r="20" customFormat="false" ht="25.5" hidden="false" customHeight="true" outlineLevel="0" collapsed="false">
      <c r="A20" s="11" t="n">
        <v>15</v>
      </c>
      <c r="B20" s="7"/>
      <c r="C20" s="7"/>
      <c r="D20" s="11"/>
      <c r="E20" s="11"/>
      <c r="F20" s="11"/>
      <c r="G20" s="13"/>
      <c r="H20" s="17"/>
      <c r="I20" s="7"/>
      <c r="J20" s="12" t="str">
        <f aca="true">IF(G20="","",IF(H20&gt;=1,"abgeschlossen",IF(G20&lt;TODAY(),"überfällig",IF(G20&lt;=TODAY()+30,"fällig in 30 Tagen","im Plan"))))</f>
        <v/>
      </c>
      <c r="K20" s="11"/>
    </row>
    <row r="21" customFormat="false" ht="25.5" hidden="false" customHeight="true" outlineLevel="0" collapsed="false">
      <c r="A21" s="11" t="n">
        <v>16</v>
      </c>
      <c r="B21" s="7"/>
      <c r="C21" s="7"/>
      <c r="D21" s="11"/>
      <c r="E21" s="11"/>
      <c r="F21" s="11"/>
      <c r="G21" s="13"/>
      <c r="H21" s="17"/>
      <c r="I21" s="7"/>
      <c r="J21" s="12" t="str">
        <f aca="true">IF(G21="","",IF(H21&gt;=1,"abgeschlossen",IF(G21&lt;TODAY(),"überfällig",IF(G21&lt;=TODAY()+30,"fällig in 30 Tagen","im Plan"))))</f>
        <v/>
      </c>
      <c r="K21" s="11"/>
    </row>
    <row r="22" customFormat="false" ht="25.5" hidden="false" customHeight="true" outlineLevel="0" collapsed="false">
      <c r="A22" s="11" t="n">
        <v>17</v>
      </c>
      <c r="B22" s="7"/>
      <c r="C22" s="7"/>
      <c r="D22" s="11"/>
      <c r="E22" s="11"/>
      <c r="F22" s="11"/>
      <c r="G22" s="13"/>
      <c r="H22" s="17"/>
      <c r="I22" s="7"/>
      <c r="J22" s="12" t="str">
        <f aca="true">IF(G22="","",IF(H22&gt;=1,"abgeschlossen",IF(G22&lt;TODAY(),"überfällig",IF(G22&lt;=TODAY()+30,"fällig in 30 Tagen","im Plan"))))</f>
        <v/>
      </c>
      <c r="K22" s="11"/>
    </row>
    <row r="23" customFormat="false" ht="25.5" hidden="false" customHeight="true" outlineLevel="0" collapsed="false">
      <c r="A23" s="11" t="n">
        <v>18</v>
      </c>
      <c r="B23" s="7"/>
      <c r="C23" s="7"/>
      <c r="D23" s="11"/>
      <c r="E23" s="11"/>
      <c r="F23" s="11"/>
      <c r="G23" s="13"/>
      <c r="H23" s="17"/>
      <c r="I23" s="7"/>
      <c r="J23" s="12" t="str">
        <f aca="true">IF(G23="","",IF(H23&gt;=1,"abgeschlossen",IF(G23&lt;TODAY(),"überfällig",IF(G23&lt;=TODAY()+30,"fällig in 30 Tagen","im Plan"))))</f>
        <v/>
      </c>
      <c r="K23" s="11"/>
    </row>
    <row r="24" customFormat="false" ht="25.5" hidden="false" customHeight="true" outlineLevel="0" collapsed="false">
      <c r="A24" s="11" t="n">
        <v>19</v>
      </c>
      <c r="B24" s="7"/>
      <c r="C24" s="7"/>
      <c r="D24" s="11"/>
      <c r="E24" s="11"/>
      <c r="F24" s="11"/>
      <c r="G24" s="13"/>
      <c r="H24" s="17"/>
      <c r="I24" s="7"/>
      <c r="J24" s="12" t="str">
        <f aca="true">IF(G24="","",IF(H24&gt;=1,"abgeschlossen",IF(G24&lt;TODAY(),"überfällig",IF(G24&lt;=TODAY()+30,"fällig in 30 Tagen","im Plan"))))</f>
        <v/>
      </c>
      <c r="K24" s="11"/>
    </row>
    <row r="25" customFormat="false" ht="25.5" hidden="false" customHeight="true" outlineLevel="0" collapsed="false">
      <c r="A25" s="11" t="n">
        <v>20</v>
      </c>
      <c r="B25" s="7"/>
      <c r="C25" s="7"/>
      <c r="D25" s="11"/>
      <c r="E25" s="11"/>
      <c r="F25" s="11"/>
      <c r="G25" s="13"/>
      <c r="H25" s="17"/>
      <c r="I25" s="7"/>
      <c r="J25" s="12" t="str">
        <f aca="true">IF(G25="","",IF(H25&gt;=1,"abgeschlossen",IF(G25&lt;TODAY(),"überfällig",IF(G25&lt;=TODAY()+30,"fällig in 30 Tagen","im Plan"))))</f>
        <v/>
      </c>
      <c r="K25" s="11"/>
    </row>
    <row r="26" customFormat="false" ht="25.5" hidden="false" customHeight="true" outlineLevel="0" collapsed="false">
      <c r="A26" s="11" t="n">
        <v>21</v>
      </c>
      <c r="B26" s="7"/>
      <c r="C26" s="7"/>
      <c r="D26" s="11"/>
      <c r="E26" s="11"/>
      <c r="F26" s="11"/>
      <c r="G26" s="13"/>
      <c r="H26" s="17"/>
      <c r="I26" s="7"/>
      <c r="J26" s="12" t="str">
        <f aca="true">IF(G26="","",IF(H26&gt;=1,"abgeschlossen",IF(G26&lt;TODAY(),"überfällig",IF(G26&lt;=TODAY()+30,"fällig in 30 Tagen","im Plan"))))</f>
        <v/>
      </c>
      <c r="K26" s="11"/>
    </row>
    <row r="27" customFormat="false" ht="25.5" hidden="false" customHeight="true" outlineLevel="0" collapsed="false">
      <c r="A27" s="11" t="n">
        <v>22</v>
      </c>
      <c r="B27" s="7"/>
      <c r="C27" s="7"/>
      <c r="D27" s="11"/>
      <c r="E27" s="11"/>
      <c r="F27" s="11"/>
      <c r="G27" s="13"/>
      <c r="H27" s="17"/>
      <c r="I27" s="7"/>
      <c r="J27" s="12" t="str">
        <f aca="true">IF(G27="","",IF(H27&gt;=1,"abgeschlossen",IF(G27&lt;TODAY(),"überfällig",IF(G27&lt;=TODAY()+30,"fällig in 30 Tagen","im Plan"))))</f>
        <v/>
      </c>
      <c r="K27" s="11"/>
    </row>
    <row r="28" customFormat="false" ht="25.5" hidden="false" customHeight="true" outlineLevel="0" collapsed="false">
      <c r="A28" s="11" t="n">
        <v>23</v>
      </c>
      <c r="B28" s="7"/>
      <c r="C28" s="7"/>
      <c r="D28" s="11"/>
      <c r="E28" s="11"/>
      <c r="F28" s="11"/>
      <c r="G28" s="13"/>
      <c r="H28" s="17"/>
      <c r="I28" s="7"/>
      <c r="J28" s="12" t="str">
        <f aca="true">IF(G28="","",IF(H28&gt;=1,"abgeschlossen",IF(G28&lt;TODAY(),"überfällig",IF(G28&lt;=TODAY()+30,"fällig in 30 Tagen","im Plan"))))</f>
        <v/>
      </c>
      <c r="K28" s="11"/>
    </row>
    <row r="29" customFormat="false" ht="25.5" hidden="false" customHeight="true" outlineLevel="0" collapsed="false">
      <c r="A29" s="11" t="n">
        <v>24</v>
      </c>
      <c r="B29" s="7"/>
      <c r="C29" s="7"/>
      <c r="D29" s="11"/>
      <c r="E29" s="11"/>
      <c r="F29" s="11"/>
      <c r="G29" s="13"/>
      <c r="H29" s="17"/>
      <c r="I29" s="7"/>
      <c r="J29" s="12" t="str">
        <f aca="true">IF(G29="","",IF(H29&gt;=1,"abgeschlossen",IF(G29&lt;TODAY(),"überfällig",IF(G29&lt;=TODAY()+30,"fällig in 30 Tagen","im Plan"))))</f>
        <v/>
      </c>
      <c r="K29" s="11"/>
    </row>
    <row r="30" customFormat="false" ht="25.5" hidden="false" customHeight="true" outlineLevel="0" collapsed="false">
      <c r="A30" s="11" t="n">
        <v>25</v>
      </c>
      <c r="B30" s="7"/>
      <c r="C30" s="7"/>
      <c r="D30" s="11"/>
      <c r="E30" s="11"/>
      <c r="F30" s="11"/>
      <c r="G30" s="13"/>
      <c r="H30" s="17"/>
      <c r="I30" s="7"/>
      <c r="J30" s="12" t="str">
        <f aca="true">IF(G30="","",IF(H30&gt;=1,"abgeschlossen",IF(G30&lt;TODAY(),"überfällig",IF(G30&lt;=TODAY()+30,"fällig in 30 Tagen","im Plan"))))</f>
        <v/>
      </c>
      <c r="K30" s="11"/>
    </row>
    <row r="31" customFormat="false" ht="25.5" hidden="false" customHeight="true" outlineLevel="0" collapsed="false">
      <c r="A31" s="11" t="n">
        <v>26</v>
      </c>
      <c r="B31" s="7"/>
      <c r="C31" s="7"/>
      <c r="D31" s="11"/>
      <c r="E31" s="11"/>
      <c r="F31" s="11"/>
      <c r="G31" s="13"/>
      <c r="H31" s="17"/>
      <c r="I31" s="7"/>
      <c r="J31" s="12" t="str">
        <f aca="true">IF(G31="","",IF(H31&gt;=1,"abgeschlossen",IF(G31&lt;TODAY(),"überfällig",IF(G31&lt;=TODAY()+30,"fällig in 30 Tagen","im Plan"))))</f>
        <v/>
      </c>
      <c r="K31" s="11"/>
    </row>
    <row r="32" customFormat="false" ht="25.5" hidden="false" customHeight="true" outlineLevel="0" collapsed="false">
      <c r="A32" s="11" t="n">
        <v>27</v>
      </c>
      <c r="B32" s="7"/>
      <c r="C32" s="7"/>
      <c r="D32" s="11"/>
      <c r="E32" s="11"/>
      <c r="F32" s="11"/>
      <c r="G32" s="13"/>
      <c r="H32" s="17"/>
      <c r="I32" s="7"/>
      <c r="J32" s="12" t="str">
        <f aca="true">IF(G32="","",IF(H32&gt;=1,"abgeschlossen",IF(G32&lt;TODAY(),"überfällig",IF(G32&lt;=TODAY()+30,"fällig in 30 Tagen","im Plan"))))</f>
        <v/>
      </c>
      <c r="K32" s="11"/>
    </row>
    <row r="33" customFormat="false" ht="25.5" hidden="false" customHeight="true" outlineLevel="0" collapsed="false">
      <c r="A33" s="11" t="n">
        <v>28</v>
      </c>
      <c r="B33" s="7"/>
      <c r="C33" s="7"/>
      <c r="D33" s="11"/>
      <c r="E33" s="11"/>
      <c r="F33" s="11"/>
      <c r="G33" s="13"/>
      <c r="H33" s="17"/>
      <c r="I33" s="7"/>
      <c r="J33" s="12" t="str">
        <f aca="true">IF(G33="","",IF(H33&gt;=1,"abgeschlossen",IF(G33&lt;TODAY(),"überfällig",IF(G33&lt;=TODAY()+30,"fällig in 30 Tagen","im Plan"))))</f>
        <v/>
      </c>
      <c r="K33" s="11"/>
    </row>
    <row r="34" customFormat="false" ht="25.5" hidden="false" customHeight="true" outlineLevel="0" collapsed="false">
      <c r="A34" s="11" t="n">
        <v>29</v>
      </c>
      <c r="B34" s="7"/>
      <c r="C34" s="7"/>
      <c r="D34" s="11"/>
      <c r="E34" s="11"/>
      <c r="F34" s="11"/>
      <c r="G34" s="13"/>
      <c r="H34" s="17"/>
      <c r="I34" s="7"/>
      <c r="J34" s="12" t="str">
        <f aca="true">IF(G34="","",IF(H34&gt;=1,"abgeschlossen",IF(G34&lt;TODAY(),"überfällig",IF(G34&lt;=TODAY()+30,"fällig in 30 Tagen","im Plan"))))</f>
        <v/>
      </c>
      <c r="K34" s="11"/>
    </row>
    <row r="35" customFormat="false" ht="25.5" hidden="false" customHeight="true" outlineLevel="0" collapsed="false">
      <c r="A35" s="11" t="n">
        <v>30</v>
      </c>
      <c r="B35" s="7"/>
      <c r="C35" s="7"/>
      <c r="D35" s="11"/>
      <c r="E35" s="11"/>
      <c r="F35" s="11"/>
      <c r="G35" s="13"/>
      <c r="H35" s="17"/>
      <c r="I35" s="7"/>
      <c r="J35" s="12" t="str">
        <f aca="true">IF(G35="","",IF(H35&gt;=1,"abgeschlossen",IF(G35&lt;TODAY(),"überfällig",IF(G35&lt;=TODAY()+30,"fällig in 30 Tagen","im Plan"))))</f>
        <v/>
      </c>
      <c r="K35" s="11"/>
    </row>
    <row r="36" customFormat="false" ht="25.5" hidden="false" customHeight="true" outlineLevel="0" collapsed="false">
      <c r="A36" s="11" t="n">
        <v>31</v>
      </c>
      <c r="B36" s="7"/>
      <c r="C36" s="7"/>
      <c r="D36" s="11"/>
      <c r="E36" s="11"/>
      <c r="F36" s="11"/>
      <c r="G36" s="13"/>
      <c r="H36" s="17"/>
      <c r="I36" s="7"/>
      <c r="J36" s="12" t="str">
        <f aca="true">IF(G36="","",IF(H36&gt;=1,"abgeschlossen",IF(G36&lt;TODAY(),"überfällig",IF(G36&lt;=TODAY()+30,"fällig in 30 Tagen","im Plan"))))</f>
        <v/>
      </c>
      <c r="K36" s="11"/>
    </row>
    <row r="37" customFormat="false" ht="25.5" hidden="false" customHeight="true" outlineLevel="0" collapsed="false">
      <c r="A37" s="11" t="n">
        <v>32</v>
      </c>
      <c r="B37" s="7"/>
      <c r="C37" s="7"/>
      <c r="D37" s="11"/>
      <c r="E37" s="11"/>
      <c r="F37" s="11"/>
      <c r="G37" s="13"/>
      <c r="H37" s="17"/>
      <c r="I37" s="7"/>
      <c r="J37" s="12" t="str">
        <f aca="true">IF(G37="","",IF(H37&gt;=1,"abgeschlossen",IF(G37&lt;TODAY(),"überfällig",IF(G37&lt;=TODAY()+30,"fällig in 30 Tagen","im Plan"))))</f>
        <v/>
      </c>
      <c r="K37" s="11"/>
    </row>
    <row r="38" customFormat="false" ht="25.5" hidden="false" customHeight="true" outlineLevel="0" collapsed="false">
      <c r="A38" s="11" t="n">
        <v>33</v>
      </c>
      <c r="B38" s="7"/>
      <c r="C38" s="7"/>
      <c r="D38" s="11"/>
      <c r="E38" s="11"/>
      <c r="F38" s="11"/>
      <c r="G38" s="13"/>
      <c r="H38" s="17"/>
      <c r="I38" s="7"/>
      <c r="J38" s="12" t="str">
        <f aca="true">IF(G38="","",IF(H38&gt;=1,"abgeschlossen",IF(G38&lt;TODAY(),"überfällig",IF(G38&lt;=TODAY()+30,"fällig in 30 Tagen","im Plan"))))</f>
        <v/>
      </c>
      <c r="K38" s="11"/>
    </row>
    <row r="39" customFormat="false" ht="25.5" hidden="false" customHeight="true" outlineLevel="0" collapsed="false">
      <c r="A39" s="11" t="n">
        <v>34</v>
      </c>
      <c r="B39" s="7"/>
      <c r="C39" s="7"/>
      <c r="D39" s="11"/>
      <c r="E39" s="11"/>
      <c r="F39" s="11"/>
      <c r="G39" s="13"/>
      <c r="H39" s="17"/>
      <c r="I39" s="7"/>
      <c r="J39" s="12" t="str">
        <f aca="true">IF(G39="","",IF(H39&gt;=1,"abgeschlossen",IF(G39&lt;TODAY(),"überfällig",IF(G39&lt;=TODAY()+30,"fällig in 30 Tagen","im Plan"))))</f>
        <v/>
      </c>
      <c r="K39" s="11"/>
    </row>
    <row r="40" customFormat="false" ht="25.5" hidden="false" customHeight="true" outlineLevel="0" collapsed="false">
      <c r="A40" s="11" t="n">
        <v>35</v>
      </c>
      <c r="B40" s="7"/>
      <c r="C40" s="7"/>
      <c r="D40" s="11"/>
      <c r="E40" s="11"/>
      <c r="F40" s="11"/>
      <c r="G40" s="13"/>
      <c r="H40" s="17"/>
      <c r="I40" s="7"/>
      <c r="J40" s="12" t="str">
        <f aca="true">IF(G40="","",IF(H40&gt;=1,"abgeschlossen",IF(G40&lt;TODAY(),"überfällig",IF(G40&lt;=TODAY()+30,"fällig in 30 Tagen","im Plan"))))</f>
        <v/>
      </c>
      <c r="K40" s="11"/>
    </row>
    <row r="41" customFormat="false" ht="25.5" hidden="false" customHeight="true" outlineLevel="0" collapsed="false">
      <c r="A41" s="11" t="n">
        <v>36</v>
      </c>
      <c r="B41" s="7"/>
      <c r="C41" s="7"/>
      <c r="D41" s="11"/>
      <c r="E41" s="11"/>
      <c r="F41" s="11"/>
      <c r="G41" s="13"/>
      <c r="H41" s="17"/>
      <c r="I41" s="7"/>
      <c r="J41" s="12" t="str">
        <f aca="true">IF(G41="","",IF(H41&gt;=1,"abgeschlossen",IF(G41&lt;TODAY(),"überfällig",IF(G41&lt;=TODAY()+30,"fällig in 30 Tagen","im Plan"))))</f>
        <v/>
      </c>
      <c r="K41" s="11"/>
    </row>
    <row r="42" customFormat="false" ht="25.5" hidden="false" customHeight="true" outlineLevel="0" collapsed="false">
      <c r="A42" s="11" t="n">
        <v>37</v>
      </c>
      <c r="B42" s="7"/>
      <c r="C42" s="7"/>
      <c r="D42" s="11"/>
      <c r="E42" s="11"/>
      <c r="F42" s="11"/>
      <c r="G42" s="13"/>
      <c r="H42" s="17"/>
      <c r="I42" s="7"/>
      <c r="J42" s="12" t="str">
        <f aca="true">IF(G42="","",IF(H42&gt;=1,"abgeschlossen",IF(G42&lt;TODAY(),"überfällig",IF(G42&lt;=TODAY()+30,"fällig in 30 Tagen","im Plan"))))</f>
        <v/>
      </c>
      <c r="K42" s="11"/>
    </row>
    <row r="43" customFormat="false" ht="25.5" hidden="false" customHeight="true" outlineLevel="0" collapsed="false">
      <c r="A43" s="11" t="n">
        <v>38</v>
      </c>
      <c r="B43" s="7"/>
      <c r="C43" s="7"/>
      <c r="D43" s="11"/>
      <c r="E43" s="11"/>
      <c r="F43" s="11"/>
      <c r="G43" s="13"/>
      <c r="H43" s="17"/>
      <c r="I43" s="7"/>
      <c r="J43" s="12" t="str">
        <f aca="true">IF(G43="","",IF(H43&gt;=1,"abgeschlossen",IF(G43&lt;TODAY(),"überfällig",IF(G43&lt;=TODAY()+30,"fällig in 30 Tagen","im Plan"))))</f>
        <v/>
      </c>
      <c r="K43" s="11"/>
    </row>
    <row r="44" customFormat="false" ht="25.5" hidden="false" customHeight="true" outlineLevel="0" collapsed="false">
      <c r="A44" s="11" t="n">
        <v>39</v>
      </c>
      <c r="B44" s="7"/>
      <c r="C44" s="7"/>
      <c r="D44" s="11"/>
      <c r="E44" s="11"/>
      <c r="F44" s="11"/>
      <c r="G44" s="13"/>
      <c r="H44" s="17"/>
      <c r="I44" s="7"/>
      <c r="J44" s="12" t="str">
        <f aca="true">IF(G44="","",IF(H44&gt;=1,"abgeschlossen",IF(G44&lt;TODAY(),"überfällig",IF(G44&lt;=TODAY()+30,"fällig in 30 Tagen","im Plan"))))</f>
        <v/>
      </c>
      <c r="K44" s="11"/>
    </row>
    <row r="45" customFormat="false" ht="25.5" hidden="false" customHeight="true" outlineLevel="0" collapsed="false">
      <c r="A45" s="11" t="n">
        <v>40</v>
      </c>
      <c r="B45" s="7"/>
      <c r="C45" s="7"/>
      <c r="D45" s="11"/>
      <c r="E45" s="11"/>
      <c r="F45" s="11"/>
      <c r="G45" s="13"/>
      <c r="H45" s="17"/>
      <c r="I45" s="7"/>
      <c r="J45" s="12" t="str">
        <f aca="true">IF(G45="","",IF(H45&gt;=1,"abgeschlossen",IF(G45&lt;TODAY(),"überfällig",IF(G45&lt;=TODAY()+30,"fällig in 30 Tagen","im Plan"))))</f>
        <v/>
      </c>
      <c r="K45" s="11"/>
    </row>
    <row r="46" customFormat="false" ht="25.5" hidden="false" customHeight="true" outlineLevel="0" collapsed="false">
      <c r="A46" s="11" t="n">
        <v>41</v>
      </c>
      <c r="B46" s="7"/>
      <c r="C46" s="7"/>
      <c r="D46" s="11"/>
      <c r="E46" s="11"/>
      <c r="F46" s="11"/>
      <c r="G46" s="13"/>
      <c r="H46" s="17"/>
      <c r="I46" s="7"/>
      <c r="J46" s="12" t="str">
        <f aca="true">IF(G46="","",IF(H46&gt;=1,"abgeschlossen",IF(G46&lt;TODAY(),"überfällig",IF(G46&lt;=TODAY()+30,"fällig in 30 Tagen","im Plan"))))</f>
        <v/>
      </c>
      <c r="K46" s="11"/>
    </row>
    <row r="47" customFormat="false" ht="25.5" hidden="false" customHeight="true" outlineLevel="0" collapsed="false">
      <c r="A47" s="11" t="n">
        <v>42</v>
      </c>
      <c r="B47" s="7"/>
      <c r="C47" s="7"/>
      <c r="D47" s="11"/>
      <c r="E47" s="11"/>
      <c r="F47" s="11"/>
      <c r="G47" s="13"/>
      <c r="H47" s="17"/>
      <c r="I47" s="7"/>
      <c r="J47" s="12" t="str">
        <f aca="true">IF(G47="","",IF(H47&gt;=1,"abgeschlossen",IF(G47&lt;TODAY(),"überfällig",IF(G47&lt;=TODAY()+30,"fällig in 30 Tagen","im Plan"))))</f>
        <v/>
      </c>
      <c r="K47" s="11"/>
    </row>
    <row r="48" customFormat="false" ht="25.5" hidden="false" customHeight="true" outlineLevel="0" collapsed="false">
      <c r="A48" s="11" t="n">
        <v>43</v>
      </c>
      <c r="B48" s="7"/>
      <c r="C48" s="7"/>
      <c r="D48" s="11"/>
      <c r="E48" s="11"/>
      <c r="F48" s="11"/>
      <c r="G48" s="13"/>
      <c r="H48" s="17"/>
      <c r="I48" s="7"/>
      <c r="J48" s="12" t="str">
        <f aca="true">IF(G48="","",IF(H48&gt;=1,"abgeschlossen",IF(G48&lt;TODAY(),"überfällig",IF(G48&lt;=TODAY()+30,"fällig in 30 Tagen","im Plan"))))</f>
        <v/>
      </c>
      <c r="K48" s="11"/>
    </row>
    <row r="49" customFormat="false" ht="25.5" hidden="false" customHeight="true" outlineLevel="0" collapsed="false">
      <c r="A49" s="11" t="n">
        <v>44</v>
      </c>
      <c r="B49" s="7"/>
      <c r="C49" s="7"/>
      <c r="D49" s="11"/>
      <c r="E49" s="11"/>
      <c r="F49" s="11"/>
      <c r="G49" s="13"/>
      <c r="H49" s="17"/>
      <c r="I49" s="7"/>
      <c r="J49" s="12" t="str">
        <f aca="true">IF(G49="","",IF(H49&gt;=1,"abgeschlossen",IF(G49&lt;TODAY(),"überfällig",IF(G49&lt;=TODAY()+30,"fällig in 30 Tagen","im Plan"))))</f>
        <v/>
      </c>
      <c r="K49" s="11"/>
    </row>
    <row r="50" customFormat="false" ht="25.5" hidden="false" customHeight="true" outlineLevel="0" collapsed="false">
      <c r="A50" s="11" t="n">
        <v>45</v>
      </c>
      <c r="B50" s="7"/>
      <c r="C50" s="7"/>
      <c r="D50" s="11"/>
      <c r="E50" s="11"/>
      <c r="F50" s="11"/>
      <c r="G50" s="13"/>
      <c r="H50" s="17"/>
      <c r="I50" s="7"/>
      <c r="J50" s="12" t="str">
        <f aca="true">IF(G50="","",IF(H50&gt;=1,"abgeschlossen",IF(G50&lt;TODAY(),"überfällig",IF(G50&lt;=TODAY()+30,"fällig in 30 Tagen","im Plan"))))</f>
        <v/>
      </c>
      <c r="K50" s="11"/>
    </row>
    <row r="51" customFormat="false" ht="25.5" hidden="false" customHeight="true" outlineLevel="0" collapsed="false">
      <c r="A51" s="11" t="n">
        <v>46</v>
      </c>
      <c r="B51" s="7"/>
      <c r="C51" s="7"/>
      <c r="D51" s="11"/>
      <c r="E51" s="11"/>
      <c r="F51" s="11"/>
      <c r="G51" s="13"/>
      <c r="H51" s="17"/>
      <c r="I51" s="7"/>
      <c r="J51" s="12" t="str">
        <f aca="true">IF(G51="","",IF(H51&gt;=1,"abgeschlossen",IF(G51&lt;TODAY(),"überfällig",IF(G51&lt;=TODAY()+30,"fällig in 30 Tagen","im Plan"))))</f>
        <v/>
      </c>
      <c r="K51" s="11"/>
    </row>
    <row r="52" customFormat="false" ht="25.5" hidden="false" customHeight="true" outlineLevel="0" collapsed="false">
      <c r="A52" s="11" t="n">
        <v>47</v>
      </c>
      <c r="B52" s="7"/>
      <c r="C52" s="7"/>
      <c r="D52" s="11"/>
      <c r="E52" s="11"/>
      <c r="F52" s="11"/>
      <c r="G52" s="13"/>
      <c r="H52" s="17"/>
      <c r="I52" s="7"/>
      <c r="J52" s="12" t="str">
        <f aca="true">IF(G52="","",IF(H52&gt;=1,"abgeschlossen",IF(G52&lt;TODAY(),"überfällig",IF(G52&lt;=TODAY()+30,"fällig in 30 Tagen","im Plan"))))</f>
        <v/>
      </c>
      <c r="K52" s="11"/>
    </row>
    <row r="53" customFormat="false" ht="25.5" hidden="false" customHeight="true" outlineLevel="0" collapsed="false">
      <c r="A53" s="11" t="n">
        <v>48</v>
      </c>
      <c r="B53" s="7"/>
      <c r="C53" s="7"/>
      <c r="D53" s="11"/>
      <c r="E53" s="11"/>
      <c r="F53" s="11"/>
      <c r="G53" s="13"/>
      <c r="H53" s="17"/>
      <c r="I53" s="7"/>
      <c r="J53" s="12" t="str">
        <f aca="true">IF(G53="","",IF(H53&gt;=1,"abgeschlossen",IF(G53&lt;TODAY(),"überfällig",IF(G53&lt;=TODAY()+30,"fällig in 30 Tagen","im Plan"))))</f>
        <v/>
      </c>
      <c r="K53" s="11"/>
    </row>
    <row r="54" customFormat="false" ht="25.5" hidden="false" customHeight="true" outlineLevel="0" collapsed="false">
      <c r="A54" s="11" t="n">
        <v>49</v>
      </c>
      <c r="B54" s="7"/>
      <c r="C54" s="7"/>
      <c r="D54" s="11"/>
      <c r="E54" s="11"/>
      <c r="F54" s="11"/>
      <c r="G54" s="13"/>
      <c r="H54" s="17"/>
      <c r="I54" s="7"/>
      <c r="J54" s="12" t="str">
        <f aca="true">IF(G54="","",IF(H54&gt;=1,"abgeschlossen",IF(G54&lt;TODAY(),"überfällig",IF(G54&lt;=TODAY()+30,"fällig in 30 Tagen","im Plan"))))</f>
        <v/>
      </c>
      <c r="K54" s="11"/>
    </row>
    <row r="55" customFormat="false" ht="25.5" hidden="false" customHeight="true" outlineLevel="0" collapsed="false">
      <c r="A55" s="11" t="n">
        <v>50</v>
      </c>
      <c r="B55" s="7"/>
      <c r="C55" s="7"/>
      <c r="D55" s="11"/>
      <c r="E55" s="11"/>
      <c r="F55" s="11"/>
      <c r="G55" s="13"/>
      <c r="H55" s="17"/>
      <c r="I55" s="7"/>
      <c r="J55" s="12" t="str">
        <f aca="true">IF(G55="","",IF(H55&gt;=1,"abgeschlossen",IF(G55&lt;TODAY(),"überfällig",IF(G55&lt;=TODAY()+30,"fällig in 30 Tagen","im Plan"))))</f>
        <v/>
      </c>
      <c r="K55" s="11"/>
    </row>
    <row r="56" customFormat="false" ht="25.5" hidden="false" customHeight="true" outlineLevel="0" collapsed="false">
      <c r="A56" s="11" t="n">
        <v>51</v>
      </c>
      <c r="B56" s="7"/>
      <c r="C56" s="7"/>
      <c r="D56" s="11"/>
      <c r="E56" s="11"/>
      <c r="F56" s="11"/>
      <c r="G56" s="13"/>
      <c r="H56" s="17"/>
      <c r="I56" s="7"/>
      <c r="J56" s="12" t="str">
        <f aca="true">IF(G56="","",IF(H56&gt;=1,"abgeschlossen",IF(G56&lt;TODAY(),"überfällig",IF(G56&lt;=TODAY()+30,"fällig in 30 Tagen","im Plan"))))</f>
        <v/>
      </c>
      <c r="K56" s="11"/>
    </row>
    <row r="57" customFormat="false" ht="25.5" hidden="false" customHeight="true" outlineLevel="0" collapsed="false">
      <c r="A57" s="11" t="n">
        <v>52</v>
      </c>
      <c r="B57" s="7"/>
      <c r="C57" s="7"/>
      <c r="D57" s="11"/>
      <c r="E57" s="11"/>
      <c r="F57" s="11"/>
      <c r="G57" s="13"/>
      <c r="H57" s="17"/>
      <c r="I57" s="7"/>
      <c r="J57" s="12" t="str">
        <f aca="true">IF(G57="","",IF(H57&gt;=1,"abgeschlossen",IF(G57&lt;TODAY(),"überfällig",IF(G57&lt;=TODAY()+30,"fällig in 30 Tagen","im Plan"))))</f>
        <v/>
      </c>
      <c r="K57" s="11"/>
    </row>
    <row r="58" customFormat="false" ht="25.5" hidden="false" customHeight="true" outlineLevel="0" collapsed="false">
      <c r="A58" s="11" t="n">
        <v>53</v>
      </c>
      <c r="B58" s="7"/>
      <c r="C58" s="7"/>
      <c r="D58" s="11"/>
      <c r="E58" s="11"/>
      <c r="F58" s="11"/>
      <c r="G58" s="13"/>
      <c r="H58" s="17"/>
      <c r="I58" s="7"/>
      <c r="J58" s="12" t="str">
        <f aca="true">IF(G58="","",IF(H58&gt;=1,"abgeschlossen",IF(G58&lt;TODAY(),"überfällig",IF(G58&lt;=TODAY()+30,"fällig in 30 Tagen","im Plan"))))</f>
        <v/>
      </c>
      <c r="K58" s="11"/>
    </row>
    <row r="59" customFormat="false" ht="25.5" hidden="false" customHeight="true" outlineLevel="0" collapsed="false">
      <c r="A59" s="11" t="n">
        <v>54</v>
      </c>
      <c r="B59" s="7"/>
      <c r="C59" s="7"/>
      <c r="D59" s="11"/>
      <c r="E59" s="11"/>
      <c r="F59" s="11"/>
      <c r="G59" s="13"/>
      <c r="H59" s="17"/>
      <c r="I59" s="7"/>
      <c r="J59" s="12" t="str">
        <f aca="true">IF(G59="","",IF(H59&gt;=1,"abgeschlossen",IF(G59&lt;TODAY(),"überfällig",IF(G59&lt;=TODAY()+30,"fällig in 30 Tagen","im Plan"))))</f>
        <v/>
      </c>
      <c r="K59" s="11"/>
    </row>
    <row r="60" customFormat="false" ht="25.5" hidden="false" customHeight="true" outlineLevel="0" collapsed="false">
      <c r="A60" s="11" t="n">
        <v>55</v>
      </c>
      <c r="B60" s="7"/>
      <c r="C60" s="7"/>
      <c r="D60" s="11"/>
      <c r="E60" s="11"/>
      <c r="F60" s="11"/>
      <c r="G60" s="13"/>
      <c r="H60" s="17"/>
      <c r="I60" s="7"/>
      <c r="J60" s="12" t="str">
        <f aca="true">IF(G60="","",IF(H60&gt;=1,"abgeschlossen",IF(G60&lt;TODAY(),"überfällig",IF(G60&lt;=TODAY()+30,"fällig in 30 Tagen","im Plan"))))</f>
        <v/>
      </c>
      <c r="K60" s="11"/>
    </row>
    <row r="61" customFormat="false" ht="25.5" hidden="false" customHeight="true" outlineLevel="0" collapsed="false">
      <c r="A61" s="11" t="n">
        <v>56</v>
      </c>
      <c r="B61" s="7"/>
      <c r="C61" s="7"/>
      <c r="D61" s="11"/>
      <c r="E61" s="11"/>
      <c r="F61" s="11"/>
      <c r="G61" s="13"/>
      <c r="H61" s="17"/>
      <c r="I61" s="7"/>
      <c r="J61" s="12" t="str">
        <f aca="true">IF(G61="","",IF(H61&gt;=1,"abgeschlossen",IF(G61&lt;TODAY(),"überfällig",IF(G61&lt;=TODAY()+30,"fällig in 30 Tagen","im Plan"))))</f>
        <v/>
      </c>
      <c r="K61" s="11"/>
    </row>
    <row r="62" customFormat="false" ht="25.5" hidden="false" customHeight="true" outlineLevel="0" collapsed="false">
      <c r="A62" s="11" t="n">
        <v>57</v>
      </c>
      <c r="B62" s="7"/>
      <c r="C62" s="7"/>
      <c r="D62" s="11"/>
      <c r="E62" s="11"/>
      <c r="F62" s="11"/>
      <c r="G62" s="13"/>
      <c r="H62" s="17"/>
      <c r="I62" s="7"/>
      <c r="J62" s="12" t="str">
        <f aca="true">IF(G62="","",IF(H62&gt;=1,"abgeschlossen",IF(G62&lt;TODAY(),"überfällig",IF(G62&lt;=TODAY()+30,"fällig in 30 Tagen","im Plan"))))</f>
        <v/>
      </c>
      <c r="K62" s="11"/>
    </row>
    <row r="63" customFormat="false" ht="25.5" hidden="false" customHeight="true" outlineLevel="0" collapsed="false">
      <c r="A63" s="11" t="n">
        <v>58</v>
      </c>
      <c r="B63" s="7"/>
      <c r="C63" s="7"/>
      <c r="D63" s="11"/>
      <c r="E63" s="11"/>
      <c r="F63" s="11"/>
      <c r="G63" s="13"/>
      <c r="H63" s="17"/>
      <c r="I63" s="7"/>
      <c r="J63" s="12" t="str">
        <f aca="true">IF(G63="","",IF(H63&gt;=1,"abgeschlossen",IF(G63&lt;TODAY(),"überfällig",IF(G63&lt;=TODAY()+30,"fällig in 30 Tagen","im Plan"))))</f>
        <v/>
      </c>
      <c r="K63" s="11"/>
    </row>
    <row r="64" customFormat="false" ht="25.5" hidden="false" customHeight="true" outlineLevel="0" collapsed="false">
      <c r="A64" s="11" t="n">
        <v>59</v>
      </c>
      <c r="B64" s="7"/>
      <c r="C64" s="7"/>
      <c r="D64" s="11"/>
      <c r="E64" s="11"/>
      <c r="F64" s="11"/>
      <c r="G64" s="13"/>
      <c r="H64" s="17"/>
      <c r="I64" s="7"/>
      <c r="J64" s="12" t="str">
        <f aca="true">IF(G64="","",IF(H64&gt;=1,"abgeschlossen",IF(G64&lt;TODAY(),"überfällig",IF(G64&lt;=TODAY()+30,"fällig in 30 Tagen","im Plan"))))</f>
        <v/>
      </c>
      <c r="K64" s="11"/>
    </row>
    <row r="65" customFormat="false" ht="25.5" hidden="false" customHeight="true" outlineLevel="0" collapsed="false">
      <c r="A65" s="11" t="n">
        <v>60</v>
      </c>
      <c r="B65" s="7"/>
      <c r="C65" s="7"/>
      <c r="D65" s="11"/>
      <c r="E65" s="11"/>
      <c r="F65" s="11"/>
      <c r="G65" s="13"/>
      <c r="H65" s="17"/>
      <c r="I65" s="7"/>
      <c r="J65" s="12" t="str">
        <f aca="true">IF(G65="","",IF(H65&gt;=1,"abgeschlossen",IF(G65&lt;TODAY(),"überfällig",IF(G65&lt;=TODAY()+30,"fällig in 30 Tagen","im Plan"))))</f>
        <v/>
      </c>
      <c r="K65" s="11"/>
    </row>
  </sheetData>
  <mergeCells count="2">
    <mergeCell ref="A1:K1"/>
    <mergeCell ref="A2:K2"/>
  </mergeCells>
  <conditionalFormatting sqref="J6:J65">
    <cfRule type="cellIs" priority="2" operator="equal" aboveAverage="0" equalAverage="0" bottom="0" percent="0" rank="0" text="" dxfId="1">
      <formula>"überfällig"</formula>
    </cfRule>
    <cfRule type="cellIs" priority="3" operator="equal" aboveAverage="0" equalAverage="0" bottom="0" percent="0" rank="0" text="" dxfId="3">
      <formula>"fällig in 30 Tagen"</formula>
    </cfRule>
    <cfRule type="cellIs" priority="4" operator="equal" aboveAverage="0" equalAverage="0" bottom="0" percent="0" rank="0" text="" dxfId="5">
      <formula>"abgeschlossen"</formula>
    </cfRule>
  </conditionalFormatting>
  <dataValidations count="3">
    <dataValidation allowBlank="true" error="Bitte einen Wert aus der Liste wählen. Freitext führt zu falschen Einstufungen." errorStyle="stop" errorTitle="Ungültige Eingabe" operator="between" showDropDown="false" showErrorMessage="true" showInputMessage="false" sqref="B6:B65" type="list">
      <formula1>'01_KI-Inventar'!$A$6:$A$65</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C6:C65" type="list">
      <formula1>'04_Pflichten-Matrix'!$A$6:$A$92</formula1>
      <formula2>0</formula2>
    </dataValidation>
    <dataValidation allowBlank="true" error="Bitte einen Wert aus der Liste wählen. Freitext führt zu falschen Einstufungen." errorStyle="stop" errorTitle="Ungültige Eingabe" operator="between" showDropDown="false" showErrorMessage="true" showInputMessage="false" sqref="I6:I65" type="list">
      <formula1>'08_Register'!$G$5:$G$7</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3" min="3" style="0" width="18"/>
    <col collapsed="false" customWidth="true" hidden="false" outlineLevel="0" max="4" min="4" style="0" width="60"/>
  </cols>
  <sheetData>
    <row r="1" customFormat="false" ht="24" hidden="false" customHeight="true" outlineLevel="0" collapsed="false">
      <c r="A1" s="1" t="s">
        <v>421</v>
      </c>
      <c r="B1" s="1"/>
      <c r="C1" s="1"/>
      <c r="D1" s="1"/>
    </row>
    <row r="2" customFormat="false" ht="15" hidden="false" customHeight="false" outlineLevel="0" collapsed="false">
      <c r="A2" s="2" t="s">
        <v>422</v>
      </c>
      <c r="B2" s="2"/>
      <c r="C2" s="2"/>
      <c r="D2" s="2"/>
    </row>
    <row r="5" customFormat="false" ht="15" hidden="false" customHeight="false" outlineLevel="0" collapsed="false">
      <c r="B5" s="6" t="s">
        <v>423</v>
      </c>
    </row>
    <row r="6" customFormat="false" ht="15" hidden="false" customHeight="false" outlineLevel="0" collapsed="false">
      <c r="B6" s="9" t="s">
        <v>424</v>
      </c>
      <c r="C6" s="9" t="s">
        <v>425</v>
      </c>
      <c r="D6" s="9" t="s">
        <v>426</v>
      </c>
    </row>
    <row r="7" customFormat="false" ht="21.75" hidden="false" customHeight="true" outlineLevel="0" collapsed="false">
      <c r="B7" s="5" t="s">
        <v>427</v>
      </c>
      <c r="C7" s="18" t="n">
        <f aca="false">MAX(0,COUNTIF('01_KI-Inventar'!$B$6:$B$65,"?*")-COUNTIF('01_KI-Inventar'!$K$6:$K$65,"BEISPIELZEILE*"))</f>
        <v>0</v>
      </c>
      <c r="D7" s="19" t="s">
        <v>428</v>
      </c>
    </row>
    <row r="8" customFormat="false" ht="21.75" hidden="false" customHeight="true" outlineLevel="0" collapsed="false">
      <c r="B8" s="5" t="s">
        <v>429</v>
      </c>
      <c r="C8" s="18" t="n">
        <f aca="false">MAX(0,COUNTIF('03_Risiko-Einstufung'!$I$6:$I$65,"?*")-1)</f>
        <v>0</v>
      </c>
      <c r="D8" s="19" t="s">
        <v>428</v>
      </c>
    </row>
    <row r="9" customFormat="false" ht="21.75" hidden="false" customHeight="true" outlineLevel="0" collapsed="false">
      <c r="B9" s="5" t="s">
        <v>430</v>
      </c>
      <c r="C9" s="18" t="n">
        <f aca="false">COUNTIF('03_Risiko-Einstufung'!$I$6:$I$65,"VERBOTEN (Art. 5)")</f>
        <v>0</v>
      </c>
      <c r="D9" s="19" t="s">
        <v>431</v>
      </c>
    </row>
    <row r="10" customFormat="false" ht="21.75" hidden="false" customHeight="true" outlineLevel="0" collapsed="false">
      <c r="B10" s="5" t="s">
        <v>265</v>
      </c>
      <c r="C10" s="18" t="n">
        <f aca="false">COUNTIF('03_Risiko-Einstufung'!$I$6:$I$65,"Hochrisiko Anhang III")</f>
        <v>1</v>
      </c>
      <c r="D10" s="19" t="s">
        <v>432</v>
      </c>
    </row>
    <row r="11" customFormat="false" ht="21.75" hidden="false" customHeight="true" outlineLevel="0" collapsed="false">
      <c r="B11" s="5" t="s">
        <v>433</v>
      </c>
      <c r="C11" s="18" t="n">
        <f aca="false">COUNTIF('03_Risiko-Einstufung'!$I$6:$I$65,"Hochrisiko Anhang I und Anhang III")</f>
        <v>0</v>
      </c>
      <c r="D11" s="19" t="s">
        <v>434</v>
      </c>
    </row>
    <row r="12" customFormat="false" ht="21.75" hidden="false" customHeight="true" outlineLevel="0" collapsed="false">
      <c r="B12" s="5" t="s">
        <v>435</v>
      </c>
      <c r="C12" s="18" t="n">
        <f aca="false">COUNTIF('03_Risiko-Einstufung'!$I$6:$I$65,"Hochrisiko Anhang I")</f>
        <v>0</v>
      </c>
      <c r="D12" s="19" t="s">
        <v>436</v>
      </c>
    </row>
    <row r="13" customFormat="false" ht="21.75" hidden="false" customHeight="true" outlineLevel="0" collapsed="false">
      <c r="B13" s="5" t="s">
        <v>437</v>
      </c>
      <c r="C13" s="18" t="n">
        <f aca="false">COUNTIF('03_Risiko-Einstufung'!$I$6:$I$65,"Kein Hochrisiko (Art. 6 Abs. 3)")</f>
        <v>0</v>
      </c>
      <c r="D13" s="19" t="s">
        <v>438</v>
      </c>
    </row>
    <row r="14" customFormat="false" ht="21.75" hidden="false" customHeight="true" outlineLevel="0" collapsed="false">
      <c r="B14" s="5" t="s">
        <v>439</v>
      </c>
      <c r="C14" s="18" t="n">
        <f aca="false">COUNTIF('03_Risiko-Einstufung'!$I$6:$I$65,"Transparenzpflicht (Art. 50)")</f>
        <v>0</v>
      </c>
      <c r="D14" s="19" t="s">
        <v>440</v>
      </c>
    </row>
    <row r="15" customFormat="false" ht="21.75" hidden="false" customHeight="true" outlineLevel="0" collapsed="false">
      <c r="B15" s="5" t="s">
        <v>441</v>
      </c>
      <c r="C15" s="18" t="n">
        <f aca="false">COUNTIF('03_Risiko-Einstufung'!$I$6:$I$65,"Geringes Risiko")</f>
        <v>0</v>
      </c>
      <c r="D15" s="19" t="s">
        <v>442</v>
      </c>
    </row>
    <row r="16" customFormat="false" ht="21.75" hidden="false" customHeight="true" outlineLevel="0" collapsed="false">
      <c r="B16" s="5" t="s">
        <v>443</v>
      </c>
      <c r="C16" s="18" t="n">
        <f aca="false">COUNTIF('03_Risiko-Einstufung'!$I$6:$I$65,"noch offen")</f>
        <v>0</v>
      </c>
      <c r="D16" s="19" t="s">
        <v>444</v>
      </c>
    </row>
    <row r="18" customFormat="false" ht="15" hidden="false" customHeight="false" outlineLevel="0" collapsed="false">
      <c r="B18" s="6" t="s">
        <v>445</v>
      </c>
    </row>
    <row r="19" customFormat="false" ht="15" hidden="false" customHeight="false" outlineLevel="0" collapsed="false">
      <c r="B19" s="9" t="s">
        <v>424</v>
      </c>
      <c r="C19" s="9" t="s">
        <v>425</v>
      </c>
      <c r="D19" s="9" t="s">
        <v>426</v>
      </c>
    </row>
    <row r="20" customFormat="false" ht="21.75" hidden="false" customHeight="true" outlineLevel="0" collapsed="false">
      <c r="B20" s="5" t="s">
        <v>446</v>
      </c>
      <c r="C20" s="18" t="n">
        <f aca="false">COUNTIF('04_Pflichten-Matrix'!$H$6:$H$92,"Ja")</f>
        <v>0</v>
      </c>
      <c r="D20" s="19"/>
    </row>
    <row r="21" customFormat="false" ht="21.75" hidden="false" customHeight="true" outlineLevel="0" collapsed="false">
      <c r="B21" s="5" t="s">
        <v>447</v>
      </c>
      <c r="C21" s="18" t="n">
        <f aca="false">COUNTIFS('04_Pflichten-Matrix'!$H$6:$H$92,"Ja",'04_Pflichten-Matrix'!$I$6:$I$92,"erfüllt")</f>
        <v>0</v>
      </c>
      <c r="D21" s="19"/>
    </row>
    <row r="22" customFormat="false" ht="21.75" hidden="false" customHeight="true" outlineLevel="0" collapsed="false">
      <c r="B22" s="5" t="s">
        <v>448</v>
      </c>
      <c r="C22" s="18" t="n">
        <f aca="false">COUNTIFS('04_Pflichten-Matrix'!$H$6:$H$92,"Ja",'04_Pflichten-Matrix'!$I$6:$I$92,"in Arbeit")</f>
        <v>0</v>
      </c>
      <c r="D22" s="19"/>
    </row>
    <row r="23" customFormat="false" ht="21.75" hidden="false" customHeight="true" outlineLevel="0" collapsed="false">
      <c r="B23" s="5" t="s">
        <v>449</v>
      </c>
      <c r="C23" s="18" t="n">
        <f aca="false">COUNTIFS('04_Pflichten-Matrix'!$H$6:$H$92,"Ja",'04_Pflichten-Matrix'!$I$6:$I$92,"offen")</f>
        <v>0</v>
      </c>
      <c r="D23" s="19"/>
    </row>
    <row r="24" customFormat="false" ht="21.75" hidden="false" customHeight="true" outlineLevel="0" collapsed="false">
      <c r="B24" s="5" t="s">
        <v>450</v>
      </c>
      <c r="C24" s="18" t="n">
        <f aca="false">COUNTIFS('04_Pflichten-Matrix'!$H$6:$H$92,"Ja",'04_Pflichten-Matrix'!$I$6:$I$92,"")</f>
        <v>0</v>
      </c>
      <c r="D24" s="19" t="s">
        <v>451</v>
      </c>
    </row>
    <row r="25" customFormat="false" ht="21.75" hidden="false" customHeight="true" outlineLevel="0" collapsed="false">
      <c r="B25" s="5" t="s">
        <v>452</v>
      </c>
      <c r="C25" s="20" t="n">
        <f aca="false">IFERROR(COUNTIFS('04_Pflichten-Matrix'!$H$6:$H$92,"Ja",'04_Pflichten-Matrix'!$I$6:$I$92,"erfüllt")/(COUNTIF('04_Pflichten-Matrix'!$H$6:$H$92,"Ja")-COUNTIFS('04_Pflichten-Matrix'!$H$6:$H$92,"Ja",'04_Pflichten-Matrix'!$I$6:$I$92,"nicht anwendbar")),0)</f>
        <v>0</v>
      </c>
      <c r="D25" s="19" t="s">
        <v>453</v>
      </c>
    </row>
    <row r="26" customFormat="false" ht="21.75" hidden="false" customHeight="true" outlineLevel="0" collapsed="false">
      <c r="B26" s="5" t="s">
        <v>454</v>
      </c>
      <c r="C26" s="18" t="n">
        <f aca="false">COUNTIF('04_Pflichten-Matrix'!$H$6:$H$92,"noch offen")+COUNTIF('04_Pflichten-Matrix'!$H$6:$H$92,"")</f>
        <v>87</v>
      </c>
      <c r="D26" s="19" t="s">
        <v>455</v>
      </c>
    </row>
    <row r="28" customFormat="false" ht="15" hidden="false" customHeight="false" outlineLevel="0" collapsed="false">
      <c r="B28" s="6" t="s">
        <v>456</v>
      </c>
    </row>
    <row r="29" customFormat="false" ht="15" hidden="false" customHeight="false" outlineLevel="0" collapsed="false">
      <c r="B29" s="9" t="s">
        <v>424</v>
      </c>
      <c r="C29" s="9" t="s">
        <v>425</v>
      </c>
      <c r="D29" s="9" t="s">
        <v>426</v>
      </c>
    </row>
    <row r="30" customFormat="false" ht="21.75" hidden="false" customHeight="true" outlineLevel="0" collapsed="false">
      <c r="B30" s="5" t="s">
        <v>457</v>
      </c>
      <c r="C30" s="18" t="n">
        <f aca="false">COUNTIF('05_Maßnahmenplan'!$E$6:$E$65,"?*")</f>
        <v>1</v>
      </c>
      <c r="D30" s="19"/>
    </row>
    <row r="31" customFormat="false" ht="21.75" hidden="false" customHeight="true" outlineLevel="0" collapsed="false">
      <c r="B31" s="5" t="s">
        <v>458</v>
      </c>
      <c r="C31" s="18" t="n">
        <f aca="false">COUNTIFS('05_Maßnahmenplan'!$E$6:$E$65,"?*",'05_Maßnahmenplan'!$G$6:$G$65,"")</f>
        <v>0</v>
      </c>
      <c r="D31" s="19" t="s">
        <v>459</v>
      </c>
    </row>
    <row r="32" customFormat="false" ht="21.75" hidden="false" customHeight="true" outlineLevel="0" collapsed="false">
      <c r="B32" s="5" t="s">
        <v>460</v>
      </c>
      <c r="C32" s="18" t="n">
        <f aca="false">COUNTIF('05_Maßnahmenplan'!$J$6:$J$65,"überfällig")</f>
        <v>0</v>
      </c>
      <c r="D32" s="19" t="s">
        <v>461</v>
      </c>
    </row>
    <row r="33" customFormat="false" ht="21.75" hidden="false" customHeight="true" outlineLevel="0" collapsed="false">
      <c r="B33" s="5" t="s">
        <v>462</v>
      </c>
      <c r="C33" s="18" t="n">
        <f aca="false">COUNTIF('05_Maßnahmenplan'!$J$6:$J$65,"fällig in 30 Tagen")</f>
        <v>0</v>
      </c>
      <c r="D33" s="19"/>
    </row>
    <row r="34" customFormat="false" ht="21.75" hidden="false" customHeight="true" outlineLevel="0" collapsed="false">
      <c r="B34" s="5" t="s">
        <v>463</v>
      </c>
      <c r="C34" s="18" t="n">
        <f aca="false">COUNTIF('05_Maßnahmenplan'!$J$6:$J$65,"abgeschlossen")</f>
        <v>0</v>
      </c>
      <c r="D34" s="19"/>
    </row>
    <row r="36" customFormat="false" ht="15" hidden="false" customHeight="false" outlineLevel="0" collapsed="false">
      <c r="B36" s="6" t="s">
        <v>464</v>
      </c>
    </row>
    <row r="37" customFormat="false" ht="15" hidden="false" customHeight="false" outlineLevel="0" collapsed="false">
      <c r="B37" s="9" t="s">
        <v>424</v>
      </c>
      <c r="C37" s="9" t="s">
        <v>425</v>
      </c>
      <c r="D37" s="9" t="s">
        <v>426</v>
      </c>
    </row>
    <row r="38" customFormat="false" ht="21.75" hidden="false" customHeight="true" outlineLevel="0" collapsed="false">
      <c r="B38" s="5" t="s">
        <v>465</v>
      </c>
      <c r="C38" s="21" t="n">
        <f aca="false">DATE(2026,8,2)</f>
        <v>46236</v>
      </c>
      <c r="D38" s="19"/>
    </row>
    <row r="39" customFormat="false" ht="21.75" hidden="false" customHeight="true" outlineLevel="0" collapsed="false">
      <c r="B39" s="5" t="s">
        <v>466</v>
      </c>
      <c r="C39" s="21" t="n">
        <f aca="false">DATE(2026,12,2)</f>
        <v>46358</v>
      </c>
      <c r="D39" s="19"/>
    </row>
    <row r="40" customFormat="false" ht="21.75" hidden="false" customHeight="true" outlineLevel="0" collapsed="false">
      <c r="B40" s="5" t="s">
        <v>467</v>
      </c>
      <c r="C40" s="21" t="n">
        <f aca="false">DATE(2027,12,2)</f>
        <v>46723</v>
      </c>
      <c r="D40" s="19"/>
    </row>
    <row r="41" customFormat="false" ht="21.75" hidden="false" customHeight="true" outlineLevel="0" collapsed="false">
      <c r="B41" s="5" t="s">
        <v>468</v>
      </c>
      <c r="C41" s="21" t="n">
        <f aca="false">DATE(2028,8,2)</f>
        <v>46967</v>
      </c>
      <c r="D41" s="19"/>
    </row>
    <row r="43" customFormat="false" ht="15" hidden="false" customHeight="false" outlineLevel="0" collapsed="false">
      <c r="B43" s="16" t="s">
        <v>469</v>
      </c>
      <c r="C43" s="16"/>
      <c r="D43" s="16"/>
    </row>
  </sheetData>
  <mergeCells count="3">
    <mergeCell ref="A1:D1"/>
    <mergeCell ref="A2:D2"/>
    <mergeCell ref="B43:D43"/>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40"/>
    <col collapsed="false" customWidth="true" hidden="false" outlineLevel="0" max="3" min="3" style="0" width="62"/>
    <col collapsed="false" customWidth="true" hidden="false" outlineLevel="0" max="4" min="4" style="0" width="60"/>
  </cols>
  <sheetData>
    <row r="1" customFormat="false" ht="24" hidden="false" customHeight="true" outlineLevel="0" collapsed="false">
      <c r="A1" s="1" t="s">
        <v>470</v>
      </c>
      <c r="B1" s="1"/>
      <c r="C1" s="1"/>
      <c r="D1" s="1"/>
    </row>
    <row r="2" customFormat="false" ht="15" hidden="false" customHeight="false" outlineLevel="0" collapsed="false">
      <c r="A2" s="2" t="s">
        <v>471</v>
      </c>
      <c r="B2" s="2"/>
      <c r="C2" s="2"/>
      <c r="D2" s="2"/>
    </row>
    <row r="5" customFormat="false" ht="24" hidden="false" customHeight="true" outlineLevel="0" collapsed="false">
      <c r="A5" s="9" t="s">
        <v>472</v>
      </c>
      <c r="B5" s="9" t="s">
        <v>117</v>
      </c>
      <c r="C5" s="9" t="s">
        <v>473</v>
      </c>
      <c r="D5" s="9" t="s">
        <v>474</v>
      </c>
    </row>
    <row r="6" customFormat="false" ht="33.75" hidden="false" customHeight="true" outlineLevel="0" collapsed="false">
      <c r="A6" s="5" t="s">
        <v>475</v>
      </c>
      <c r="B6" s="5" t="s">
        <v>476</v>
      </c>
      <c r="C6" s="22" t="s">
        <v>477</v>
      </c>
      <c r="D6" s="5" t="s">
        <v>478</v>
      </c>
    </row>
    <row r="7" customFormat="false" ht="33.75" hidden="false" customHeight="true" outlineLevel="0" collapsed="false">
      <c r="A7" s="5" t="s">
        <v>479</v>
      </c>
      <c r="B7" s="5" t="s">
        <v>480</v>
      </c>
      <c r="C7" s="22" t="s">
        <v>481</v>
      </c>
      <c r="D7" s="5" t="s">
        <v>482</v>
      </c>
    </row>
    <row r="8" customFormat="false" ht="33.75" hidden="false" customHeight="true" outlineLevel="0" collapsed="false">
      <c r="A8" s="5" t="s">
        <v>483</v>
      </c>
      <c r="B8" s="5" t="s">
        <v>484</v>
      </c>
      <c r="C8" s="22" t="s">
        <v>485</v>
      </c>
      <c r="D8" s="5" t="s">
        <v>486</v>
      </c>
    </row>
    <row r="9" customFormat="false" ht="33.75" hidden="false" customHeight="true" outlineLevel="0" collapsed="false">
      <c r="A9" s="5" t="s">
        <v>487</v>
      </c>
      <c r="B9" s="5" t="s">
        <v>488</v>
      </c>
      <c r="C9" s="22" t="s">
        <v>489</v>
      </c>
      <c r="D9" s="5" t="s">
        <v>490</v>
      </c>
    </row>
    <row r="10" customFormat="false" ht="33.75" hidden="false" customHeight="true" outlineLevel="0" collapsed="false">
      <c r="A10" s="5" t="s">
        <v>491</v>
      </c>
      <c r="B10" s="5" t="s">
        <v>492</v>
      </c>
      <c r="C10" s="22" t="s">
        <v>493</v>
      </c>
      <c r="D10" s="5" t="s">
        <v>494</v>
      </c>
    </row>
    <row r="11" customFormat="false" ht="33.75" hidden="false" customHeight="true" outlineLevel="0" collapsed="false">
      <c r="A11" s="5" t="s">
        <v>495</v>
      </c>
      <c r="B11" s="5" t="s">
        <v>496</v>
      </c>
      <c r="C11" s="22" t="s">
        <v>497</v>
      </c>
      <c r="D11" s="5" t="s">
        <v>498</v>
      </c>
    </row>
    <row r="12" customFormat="false" ht="33.75" hidden="false" customHeight="true" outlineLevel="0" collapsed="false">
      <c r="A12" s="5" t="s">
        <v>499</v>
      </c>
      <c r="B12" s="5" t="s">
        <v>500</v>
      </c>
      <c r="C12" s="22" t="s">
        <v>501</v>
      </c>
      <c r="D12" s="5"/>
    </row>
    <row r="13" customFormat="false" ht="33.75" hidden="false" customHeight="true" outlineLevel="0" collapsed="false">
      <c r="A13" s="5" t="s">
        <v>502</v>
      </c>
      <c r="B13" s="5" t="s">
        <v>503</v>
      </c>
      <c r="C13" s="22" t="s">
        <v>504</v>
      </c>
      <c r="D13" s="5" t="s">
        <v>505</v>
      </c>
    </row>
    <row r="14" customFormat="false" ht="33.75" hidden="false" customHeight="true" outlineLevel="0" collapsed="false">
      <c r="A14" s="5" t="s">
        <v>506</v>
      </c>
      <c r="B14" s="5" t="s">
        <v>507</v>
      </c>
      <c r="C14" s="22" t="s">
        <v>508</v>
      </c>
      <c r="D14" s="5" t="s">
        <v>509</v>
      </c>
    </row>
    <row r="15" customFormat="false" ht="33.75" hidden="false" customHeight="true" outlineLevel="0" collapsed="false">
      <c r="A15" s="5" t="s">
        <v>510</v>
      </c>
      <c r="B15" s="5" t="s">
        <v>511</v>
      </c>
      <c r="C15" s="22" t="s">
        <v>512</v>
      </c>
      <c r="D15" s="5" t="s">
        <v>513</v>
      </c>
    </row>
    <row r="18" customFormat="false" ht="15" hidden="false" customHeight="false" outlineLevel="0" collapsed="false">
      <c r="A18" s="6" t="s">
        <v>514</v>
      </c>
    </row>
    <row r="19" customFormat="false" ht="25.5" hidden="false" customHeight="true" outlineLevel="0" collapsed="false">
      <c r="A19" s="23" t="s">
        <v>515</v>
      </c>
      <c r="B19" s="23"/>
      <c r="C19" s="23"/>
      <c r="D19" s="23"/>
    </row>
    <row r="20" customFormat="false" ht="25.5" hidden="false" customHeight="true" outlineLevel="0" collapsed="false">
      <c r="A20" s="23" t="s">
        <v>516</v>
      </c>
      <c r="B20" s="23"/>
      <c r="C20" s="23"/>
      <c r="D20" s="23"/>
    </row>
    <row r="21" customFormat="false" ht="25.5" hidden="false" customHeight="true" outlineLevel="0" collapsed="false">
      <c r="A21" s="23" t="s">
        <v>517</v>
      </c>
      <c r="B21" s="23"/>
      <c r="C21" s="23"/>
      <c r="D21" s="23"/>
    </row>
    <row r="22" customFormat="false" ht="25.5" hidden="false" customHeight="true" outlineLevel="0" collapsed="false">
      <c r="A22" s="23" t="s">
        <v>518</v>
      </c>
      <c r="B22" s="23"/>
      <c r="C22" s="23"/>
      <c r="D22" s="23"/>
    </row>
    <row r="23" customFormat="false" ht="25.5" hidden="false" customHeight="true" outlineLevel="0" collapsed="false">
      <c r="A23" s="23" t="s">
        <v>519</v>
      </c>
      <c r="B23" s="23"/>
      <c r="C23" s="23"/>
      <c r="D23" s="23"/>
    </row>
  </sheetData>
  <mergeCells count="7">
    <mergeCell ref="A1:D1"/>
    <mergeCell ref="A2:D2"/>
    <mergeCell ref="A19:D19"/>
    <mergeCell ref="A20:D20"/>
    <mergeCell ref="A21:D21"/>
    <mergeCell ref="A22:D22"/>
    <mergeCell ref="A23:D23"/>
  </mergeCells>
  <hyperlinks>
    <hyperlink ref="C6" r:id="rId1" display="https://eur-lex.europa.eu/eli/reg/2024/1689/oj/deu"/>
    <hyperlink ref="C7" r:id="rId2" display="https://eur-lex.europa.eu/eli/reg/2026/1744/oj/deu"/>
    <hyperlink ref="C8" r:id="rId3" display="https://eur-lex.europa.eu/legal-content/DE/TXT/?uri=CELEX:52025PC0836"/>
    <hyperlink ref="C9" r:id="rId4" display="https://eur-lex.europa.eu/legal-content/DE/TXT/?uri=CELEX:32003H0361"/>
    <hyperlink ref="C10" r:id="rId5" display="https://eur-lex.europa.eu/legal-content/DE/TXT/PDF/?uri=OJ:L_202501099"/>
    <hyperlink ref="C11" r:id="rId6" display="https://eur-lex.europa.eu/legal-content/DE/TXT/?uri=CELEX:32011L0093"/>
    <hyperlink ref="C12" r:id="rId7" display="https://www.consilium.europa.eu/en/press/press-releases/2026/06/29/artificial-intelligence-council-gives-final-green-light-to-simplify-and-streamline-rules/"/>
    <hyperlink ref="C13" r:id="rId8" display="https://www.europarl.europa.eu/legislative-train/package-digital-package/file-digital-omnibus-on-ai"/>
    <hyperlink ref="C14" r:id="rId9" display="https://artificialintelligenceact.eu/de/"/>
    <hyperlink ref="C15" r:id="rId10" display="https://ai-act-law.eu/de/"/>
  </hyperlink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0" min="1" style="0" width="28"/>
  </cols>
  <sheetData>
    <row r="1" customFormat="false" ht="24" hidden="false" customHeight="true" outlineLevel="0" collapsed="false">
      <c r="A1" s="1" t="s">
        <v>520</v>
      </c>
      <c r="B1" s="1"/>
      <c r="C1" s="1"/>
      <c r="D1" s="1"/>
      <c r="E1" s="1"/>
      <c r="F1" s="1"/>
      <c r="G1" s="1"/>
      <c r="H1" s="1"/>
      <c r="I1" s="1"/>
      <c r="J1" s="1"/>
    </row>
    <row r="2" customFormat="false" ht="15" hidden="false" customHeight="false" outlineLevel="0" collapsed="false">
      <c r="A2" s="2" t="s">
        <v>521</v>
      </c>
      <c r="B2" s="2"/>
      <c r="C2" s="2"/>
      <c r="D2" s="2"/>
      <c r="E2" s="2"/>
      <c r="F2" s="2"/>
      <c r="G2" s="2"/>
      <c r="H2" s="2"/>
      <c r="I2" s="2"/>
      <c r="J2" s="2"/>
    </row>
    <row r="4" customFormat="false" ht="15" hidden="false" customHeight="false" outlineLevel="0" collapsed="false">
      <c r="A4" s="9" t="s">
        <v>522</v>
      </c>
      <c r="B4" s="9" t="s">
        <v>122</v>
      </c>
      <c r="C4" s="9" t="s">
        <v>523</v>
      </c>
      <c r="D4" s="9" t="s">
        <v>524</v>
      </c>
      <c r="E4" s="9" t="s">
        <v>525</v>
      </c>
      <c r="F4" s="9" t="s">
        <v>526</v>
      </c>
      <c r="G4" s="9" t="s">
        <v>416</v>
      </c>
      <c r="H4" s="9" t="s">
        <v>51</v>
      </c>
      <c r="I4" s="9" t="s">
        <v>65</v>
      </c>
      <c r="J4" s="9" t="s">
        <v>527</v>
      </c>
    </row>
    <row r="5" customFormat="false" ht="15" hidden="false" customHeight="false" outlineLevel="0" collapsed="false">
      <c r="A5" s="5" t="s">
        <v>95</v>
      </c>
      <c r="B5" s="5" t="s">
        <v>528</v>
      </c>
      <c r="C5" s="5" t="s">
        <v>187</v>
      </c>
      <c r="D5" s="5" t="s">
        <v>430</v>
      </c>
      <c r="E5" s="5" t="s">
        <v>110</v>
      </c>
      <c r="F5" s="5" t="s">
        <v>110</v>
      </c>
      <c r="G5" s="5" t="s">
        <v>420</v>
      </c>
      <c r="H5" s="5" t="s">
        <v>529</v>
      </c>
      <c r="I5" s="5" t="s">
        <v>530</v>
      </c>
      <c r="J5" s="5" t="s">
        <v>95</v>
      </c>
    </row>
    <row r="6" customFormat="false" ht="22.35" hidden="false" customHeight="false" outlineLevel="0" collapsed="false">
      <c r="A6" s="5" t="s">
        <v>94</v>
      </c>
      <c r="B6" s="5" t="s">
        <v>531</v>
      </c>
      <c r="C6" s="5" t="s">
        <v>173</v>
      </c>
      <c r="D6" s="5" t="s">
        <v>435</v>
      </c>
      <c r="E6" s="5" t="s">
        <v>532</v>
      </c>
      <c r="F6" s="5" t="s">
        <v>533</v>
      </c>
      <c r="G6" s="5" t="s">
        <v>534</v>
      </c>
      <c r="H6" s="5" t="s">
        <v>535</v>
      </c>
      <c r="I6" s="5" t="s">
        <v>536</v>
      </c>
      <c r="J6" s="5" t="s">
        <v>94</v>
      </c>
    </row>
    <row r="7" customFormat="false" ht="22.35" hidden="false" customHeight="false" outlineLevel="0" collapsed="false">
      <c r="A7" s="5" t="s">
        <v>537</v>
      </c>
      <c r="B7" s="5" t="s">
        <v>538</v>
      </c>
      <c r="C7" s="5" t="s">
        <v>131</v>
      </c>
      <c r="D7" s="5" t="s">
        <v>265</v>
      </c>
      <c r="E7" s="5" t="s">
        <v>539</v>
      </c>
      <c r="F7" s="5" t="s">
        <v>540</v>
      </c>
      <c r="G7" s="5" t="s">
        <v>541</v>
      </c>
      <c r="H7" s="5" t="s">
        <v>542</v>
      </c>
      <c r="I7" s="5" t="s">
        <v>76</v>
      </c>
      <c r="J7" s="5" t="s">
        <v>443</v>
      </c>
    </row>
    <row r="8" customFormat="false" ht="32.8" hidden="false" customHeight="false" outlineLevel="0" collapsed="false">
      <c r="B8" s="5" t="s">
        <v>543</v>
      </c>
      <c r="C8" s="5" t="s">
        <v>544</v>
      </c>
      <c r="D8" s="5" t="s">
        <v>433</v>
      </c>
      <c r="E8" s="5" t="s">
        <v>545</v>
      </c>
      <c r="F8" s="5" t="s">
        <v>546</v>
      </c>
      <c r="H8" s="5" t="s">
        <v>547</v>
      </c>
      <c r="I8" s="5" t="s">
        <v>548</v>
      </c>
    </row>
    <row r="9" customFormat="false" ht="15" hidden="false" customHeight="false" outlineLevel="0" collapsed="false">
      <c r="C9" s="5" t="s">
        <v>549</v>
      </c>
      <c r="D9" s="5" t="s">
        <v>360</v>
      </c>
      <c r="E9" s="5" t="s">
        <v>109</v>
      </c>
      <c r="F9" s="5" t="s">
        <v>550</v>
      </c>
      <c r="I9" s="5" t="s">
        <v>551</v>
      </c>
    </row>
    <row r="10" customFormat="false" ht="22.35" hidden="false" customHeight="false" outlineLevel="0" collapsed="false">
      <c r="C10" s="5" t="s">
        <v>443</v>
      </c>
      <c r="D10" s="5" t="s">
        <v>439</v>
      </c>
      <c r="E10" s="5" t="s">
        <v>552</v>
      </c>
      <c r="F10" s="5" t="s">
        <v>553</v>
      </c>
    </row>
    <row r="11" customFormat="false" ht="15" hidden="false" customHeight="false" outlineLevel="0" collapsed="false">
      <c r="D11" s="5" t="s">
        <v>554</v>
      </c>
      <c r="E11" s="5" t="s">
        <v>555</v>
      </c>
    </row>
    <row r="12" customFormat="false" ht="22.35" hidden="false" customHeight="false" outlineLevel="0" collapsed="false">
      <c r="D12" s="5" t="s">
        <v>556</v>
      </c>
      <c r="E12" s="5" t="s">
        <v>557</v>
      </c>
    </row>
    <row r="13" customFormat="false" ht="22.35" hidden="false" customHeight="false" outlineLevel="0" collapsed="false">
      <c r="D13" s="5" t="s">
        <v>441</v>
      </c>
      <c r="E13" s="5" t="s">
        <v>558</v>
      </c>
    </row>
    <row r="14" customFormat="false" ht="15" hidden="false" customHeight="false" outlineLevel="0" collapsed="false">
      <c r="D14" s="5" t="s">
        <v>443</v>
      </c>
    </row>
  </sheetData>
  <mergeCells count="2">
    <mergeCell ref="A1:J1"/>
    <mergeCell ref="A2:J2"/>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&amp;LEU AI Act — Arbeitshilfe · Rechtsstand 29.07.2026 · keine Rechtsberatung&amp;RSeite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2026-07-29T09:20:00Z</dcterms:created>
  <dc:creator>openpyxl</dc:creator>
  <dc:description/>
  <dc:language>en-US</dc:language>
  <cp:lastModifiedBy/>
  <dcterms:modified xsi:type="dcterms:W3CDTF">2026-07-29T09:20:00Z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